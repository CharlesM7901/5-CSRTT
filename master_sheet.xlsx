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OneDrive\Documents\GitHub\5-CSRTT\"/>
    </mc:Choice>
  </mc:AlternateContent>
  <xr:revisionPtr revIDLastSave="0" documentId="13_ncr:1_{B6D3CA6C-0DE0-4947-8D20-749FEBADEB0E}" xr6:coauthVersionLast="47" xr6:coauthVersionMax="47" xr10:uidLastSave="{00000000-0000-0000-0000-000000000000}"/>
  <bookViews>
    <workbookView xWindow="12710" yWindow="0" windowWidth="12980" windowHeight="13770" activeTab="4" xr2:uid="{00000000-000D-0000-FFFF-FFFF00000000}"/>
  </bookViews>
  <sheets>
    <sheet name="Sheet1" sheetId="1" r:id="rId1"/>
    <sheet name="Jour 1 (trial run)" sheetId="2" r:id="rId2"/>
    <sheet name="Jour 1" sheetId="3" r:id="rId3"/>
    <sheet name="Jour 2" sheetId="4" r:id="rId4"/>
    <sheet name="Jour 3" sheetId="5" r:id="rId5"/>
    <sheet name="Jour 4" sheetId="6" r:id="rId6"/>
    <sheet name="Jour 5" sheetId="7" r:id="rId7"/>
    <sheet name="Jour 6" sheetId="8" r:id="rId8"/>
    <sheet name="Jour 7" sheetId="9" r:id="rId9"/>
    <sheet name="Jour 8" sheetId="10" r:id="rId10"/>
    <sheet name="Jour 9" sheetId="11" r:id="rId11"/>
    <sheet name="Jour 1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2" l="1"/>
  <c r="Y46" i="12"/>
  <c r="J46" i="12"/>
  <c r="Y45" i="12"/>
  <c r="J45" i="12"/>
  <c r="Y44" i="12"/>
  <c r="J44" i="12"/>
  <c r="Y43" i="12"/>
  <c r="J43" i="12"/>
  <c r="Y42" i="12"/>
  <c r="J42" i="12"/>
  <c r="Y41" i="12"/>
  <c r="J41" i="12"/>
  <c r="Y40" i="12"/>
  <c r="J40" i="12"/>
  <c r="Y39" i="12"/>
  <c r="J39" i="12"/>
  <c r="Y38" i="12"/>
  <c r="J38" i="12"/>
  <c r="Y37" i="12"/>
  <c r="J37" i="12"/>
  <c r="Y36" i="12"/>
  <c r="J36" i="12"/>
  <c r="Y35" i="12"/>
  <c r="J35" i="12"/>
  <c r="Y34" i="12"/>
  <c r="J34" i="12"/>
  <c r="Y33" i="12"/>
  <c r="J33" i="12"/>
  <c r="Y32" i="12"/>
  <c r="J32" i="12"/>
  <c r="Y31" i="12"/>
  <c r="J31" i="12"/>
  <c r="Y30" i="12"/>
  <c r="J30" i="12"/>
  <c r="Y29" i="12"/>
  <c r="J29" i="12"/>
  <c r="Y28" i="12"/>
  <c r="J28" i="12"/>
  <c r="Y27" i="12"/>
  <c r="J27" i="12"/>
  <c r="Y26" i="12"/>
  <c r="J26" i="12"/>
  <c r="Y25" i="12"/>
  <c r="J25" i="12"/>
  <c r="Y24" i="12"/>
  <c r="J24" i="12"/>
  <c r="Y23" i="12"/>
  <c r="J23" i="12"/>
  <c r="Y22" i="12"/>
  <c r="J22" i="12"/>
  <c r="Y21" i="12"/>
  <c r="J21" i="12"/>
  <c r="Y20" i="12"/>
  <c r="J20" i="12"/>
  <c r="Y19" i="12"/>
  <c r="J19" i="12"/>
  <c r="Y18" i="12"/>
  <c r="J18" i="12"/>
  <c r="Y17" i="12"/>
  <c r="J17" i="12"/>
  <c r="Y16" i="12"/>
  <c r="J16" i="12"/>
  <c r="Y15" i="12"/>
  <c r="J15" i="12"/>
  <c r="Y14" i="12"/>
  <c r="J14" i="12"/>
  <c r="Y13" i="12"/>
  <c r="J13" i="12"/>
  <c r="Y12" i="12"/>
  <c r="J12" i="12"/>
  <c r="Y11" i="12"/>
  <c r="J11" i="12"/>
  <c r="Y10" i="12"/>
  <c r="J10" i="12"/>
  <c r="Y9" i="12"/>
  <c r="J9" i="12"/>
  <c r="Y8" i="12"/>
  <c r="J8" i="12"/>
  <c r="Y7" i="12"/>
  <c r="J7" i="12"/>
  <c r="Y6" i="12"/>
  <c r="J6" i="12"/>
  <c r="Y5" i="12"/>
  <c r="J5" i="12"/>
  <c r="Y4" i="12"/>
  <c r="J4" i="12"/>
  <c r="Y3" i="12"/>
  <c r="Y2" i="12"/>
  <c r="J2" i="12"/>
  <c r="Y46" i="11"/>
  <c r="J46" i="11"/>
  <c r="Y45" i="11"/>
  <c r="J45" i="11"/>
  <c r="Y44" i="11"/>
  <c r="J44" i="11"/>
  <c r="Y43" i="11"/>
  <c r="J43" i="11"/>
  <c r="Y42" i="11"/>
  <c r="J42" i="11"/>
  <c r="Y41" i="11"/>
  <c r="J41" i="11"/>
  <c r="Y40" i="11"/>
  <c r="J40" i="11"/>
  <c r="Y39" i="11"/>
  <c r="J39" i="11"/>
  <c r="Y38" i="11"/>
  <c r="J38" i="11"/>
  <c r="Y37" i="11"/>
  <c r="J37" i="11"/>
  <c r="Y36" i="11"/>
  <c r="J36" i="11"/>
  <c r="Y35" i="11"/>
  <c r="J35" i="11"/>
  <c r="Y34" i="11"/>
  <c r="J34" i="11"/>
  <c r="Y33" i="11"/>
  <c r="J33" i="11"/>
  <c r="Y32" i="11"/>
  <c r="J32" i="11"/>
  <c r="Y31" i="11"/>
  <c r="J31" i="11"/>
  <c r="Y30" i="11"/>
  <c r="J30" i="11"/>
  <c r="Y29" i="11"/>
  <c r="J29" i="11"/>
  <c r="Y28" i="11"/>
  <c r="J28" i="11"/>
  <c r="Y27" i="11"/>
  <c r="J27" i="11"/>
  <c r="Y26" i="11"/>
  <c r="J26" i="11"/>
  <c r="Y25" i="11"/>
  <c r="J25" i="11"/>
  <c r="Y24" i="11"/>
  <c r="J24" i="11"/>
  <c r="Y23" i="11"/>
  <c r="J23" i="11"/>
  <c r="Y22" i="11"/>
  <c r="J22" i="11"/>
  <c r="Y21" i="11"/>
  <c r="J21" i="11"/>
  <c r="Y20" i="11"/>
  <c r="J20" i="11"/>
  <c r="Y19" i="11"/>
  <c r="J19" i="11"/>
  <c r="Y18" i="11"/>
  <c r="J18" i="11"/>
  <c r="Y17" i="11"/>
  <c r="J17" i="11"/>
  <c r="Y16" i="11"/>
  <c r="J16" i="11"/>
  <c r="Y15" i="11"/>
  <c r="J15" i="11"/>
  <c r="Y14" i="11"/>
  <c r="J14" i="11"/>
  <c r="Y13" i="11"/>
  <c r="J13" i="11"/>
  <c r="Y12" i="11"/>
  <c r="J12" i="11"/>
  <c r="Y11" i="11"/>
  <c r="J11" i="11"/>
  <c r="Y10" i="11"/>
  <c r="J10" i="11"/>
  <c r="Y9" i="11"/>
  <c r="J9" i="11"/>
  <c r="Y8" i="11"/>
  <c r="J8" i="11"/>
  <c r="Y7" i="11"/>
  <c r="J7" i="11"/>
  <c r="Y6" i="11"/>
  <c r="J6" i="11"/>
  <c r="Y5" i="11"/>
  <c r="J5" i="11"/>
  <c r="Y4" i="11"/>
  <c r="J4" i="11"/>
  <c r="Y3" i="11"/>
  <c r="J3" i="11"/>
  <c r="Y2" i="11"/>
  <c r="J2" i="11"/>
  <c r="Y46" i="10"/>
  <c r="J46" i="10"/>
  <c r="Y45" i="10"/>
  <c r="J45" i="10"/>
  <c r="Y44" i="10"/>
  <c r="J44" i="10"/>
  <c r="Y43" i="10"/>
  <c r="J43" i="10"/>
  <c r="Y42" i="10"/>
  <c r="J42" i="10"/>
  <c r="Y41" i="10"/>
  <c r="J41" i="10"/>
  <c r="Y40" i="10"/>
  <c r="J40" i="10"/>
  <c r="Y39" i="10"/>
  <c r="J39" i="10"/>
  <c r="Y38" i="10"/>
  <c r="J38" i="10"/>
  <c r="Y37" i="10"/>
  <c r="J37" i="10"/>
  <c r="Y36" i="10"/>
  <c r="J36" i="10"/>
  <c r="Y35" i="10"/>
  <c r="J35" i="10"/>
  <c r="Y34" i="10"/>
  <c r="J34" i="10"/>
  <c r="Y33" i="10"/>
  <c r="J33" i="10"/>
  <c r="Y32" i="10"/>
  <c r="J32" i="10"/>
  <c r="Y31" i="10"/>
  <c r="J31" i="10"/>
  <c r="Y30" i="10"/>
  <c r="J30" i="10"/>
  <c r="Y29" i="10"/>
  <c r="J29" i="10"/>
  <c r="Y28" i="10"/>
  <c r="J28" i="10"/>
  <c r="Y27" i="10"/>
  <c r="J27" i="10"/>
  <c r="Y26" i="10"/>
  <c r="J26" i="10"/>
  <c r="Y25" i="10"/>
  <c r="J25" i="10"/>
  <c r="Y24" i="10"/>
  <c r="J24" i="10"/>
  <c r="Y23" i="10"/>
  <c r="J23" i="10"/>
  <c r="Y22" i="10"/>
  <c r="J22" i="10"/>
  <c r="Y21" i="10"/>
  <c r="J21" i="10"/>
  <c r="Y20" i="10"/>
  <c r="J20" i="10"/>
  <c r="Y19" i="10"/>
  <c r="J19" i="10"/>
  <c r="Y18" i="10"/>
  <c r="J18" i="10"/>
  <c r="Y17" i="10"/>
  <c r="J17" i="10"/>
  <c r="Y16" i="10"/>
  <c r="J16" i="10"/>
  <c r="Y15" i="10"/>
  <c r="J15" i="10"/>
  <c r="Y14" i="10"/>
  <c r="J14" i="10"/>
  <c r="Y13" i="10"/>
  <c r="J13" i="10"/>
  <c r="Y12" i="10"/>
  <c r="J12" i="10"/>
  <c r="Y11" i="10"/>
  <c r="J11" i="10"/>
  <c r="Y10" i="10"/>
  <c r="J10" i="10"/>
  <c r="Y9" i="10"/>
  <c r="J9" i="10"/>
  <c r="Y8" i="10"/>
  <c r="J8" i="10"/>
  <c r="Y7" i="10"/>
  <c r="J7" i="10"/>
  <c r="Y6" i="10"/>
  <c r="J6" i="10"/>
  <c r="Y5" i="10"/>
  <c r="J5" i="10"/>
  <c r="Y4" i="10"/>
  <c r="J4" i="10"/>
  <c r="Y3" i="10"/>
  <c r="J3" i="10"/>
  <c r="Y2" i="10"/>
  <c r="J2" i="10"/>
  <c r="Y46" i="9"/>
  <c r="J46" i="9"/>
  <c r="Y45" i="9"/>
  <c r="J45" i="9"/>
  <c r="Y44" i="9"/>
  <c r="J44" i="9"/>
  <c r="Y43" i="9"/>
  <c r="J43" i="9"/>
  <c r="Y42" i="9"/>
  <c r="J42" i="9"/>
  <c r="Y41" i="9"/>
  <c r="J41" i="9"/>
  <c r="Y40" i="9"/>
  <c r="J40" i="9"/>
  <c r="Y39" i="9"/>
  <c r="J39" i="9"/>
  <c r="Y38" i="9"/>
  <c r="J38" i="9"/>
  <c r="Y37" i="9"/>
  <c r="J37" i="9"/>
  <c r="Y36" i="9"/>
  <c r="J36" i="9"/>
  <c r="Y35" i="9"/>
  <c r="J35" i="9"/>
  <c r="Y34" i="9"/>
  <c r="J34" i="9"/>
  <c r="Y33" i="9"/>
  <c r="J33" i="9"/>
  <c r="Y32" i="9"/>
  <c r="J32" i="9"/>
  <c r="Y31" i="9"/>
  <c r="J31" i="9"/>
  <c r="Y30" i="9"/>
  <c r="J30" i="9"/>
  <c r="Y29" i="9"/>
  <c r="J29" i="9"/>
  <c r="Y28" i="9"/>
  <c r="J28" i="9"/>
  <c r="Y27" i="9"/>
  <c r="J27" i="9"/>
  <c r="Y26" i="9"/>
  <c r="J26" i="9"/>
  <c r="Y25" i="9"/>
  <c r="J25" i="9"/>
  <c r="Y24" i="9"/>
  <c r="J24" i="9"/>
  <c r="Y23" i="9"/>
  <c r="J23" i="9"/>
  <c r="Y22" i="9"/>
  <c r="J22" i="9"/>
  <c r="Y21" i="9"/>
  <c r="J21" i="9"/>
  <c r="Y20" i="9"/>
  <c r="J20" i="9"/>
  <c r="Y19" i="9"/>
  <c r="J19" i="9"/>
  <c r="Y18" i="9"/>
  <c r="J18" i="9"/>
  <c r="Y17" i="9"/>
  <c r="J17" i="9"/>
  <c r="Y16" i="9"/>
  <c r="J16" i="9"/>
  <c r="Y15" i="9"/>
  <c r="J15" i="9"/>
  <c r="Y14" i="9"/>
  <c r="J14" i="9"/>
  <c r="Y13" i="9"/>
  <c r="J13" i="9"/>
  <c r="Y12" i="9"/>
  <c r="J12" i="9"/>
  <c r="Y11" i="9"/>
  <c r="J11" i="9"/>
  <c r="Y10" i="9"/>
  <c r="J10" i="9"/>
  <c r="Y9" i="9"/>
  <c r="J9" i="9"/>
  <c r="Y8" i="9"/>
  <c r="J8" i="9"/>
  <c r="Y7" i="9"/>
  <c r="J7" i="9"/>
  <c r="Y6" i="9"/>
  <c r="J6" i="9"/>
  <c r="Y5" i="9"/>
  <c r="J5" i="9"/>
  <c r="Y4" i="9"/>
  <c r="J4" i="9"/>
  <c r="Y3" i="9"/>
  <c r="J3" i="9"/>
  <c r="Y2" i="9"/>
  <c r="J2" i="9"/>
  <c r="Y46" i="8"/>
  <c r="J46" i="8"/>
  <c r="Y45" i="8"/>
  <c r="J45" i="8"/>
  <c r="Y44" i="8"/>
  <c r="J44" i="8"/>
  <c r="Y43" i="8"/>
  <c r="J43" i="8"/>
  <c r="Y42" i="8"/>
  <c r="J42" i="8"/>
  <c r="Y41" i="8"/>
  <c r="J41" i="8"/>
  <c r="Y40" i="8"/>
  <c r="J40" i="8"/>
  <c r="Y39" i="8"/>
  <c r="J39" i="8"/>
  <c r="Y38" i="8"/>
  <c r="J38" i="8"/>
  <c r="Y37" i="8"/>
  <c r="J37" i="8"/>
  <c r="Y36" i="8"/>
  <c r="J36" i="8"/>
  <c r="Y35" i="8"/>
  <c r="J35" i="8"/>
  <c r="Y34" i="8"/>
  <c r="J34" i="8"/>
  <c r="Y33" i="8"/>
  <c r="J33" i="8"/>
  <c r="Y32" i="8"/>
  <c r="J32" i="8"/>
  <c r="Y31" i="8"/>
  <c r="J31" i="8"/>
  <c r="Y30" i="8"/>
  <c r="J30" i="8"/>
  <c r="Y29" i="8"/>
  <c r="J29" i="8"/>
  <c r="Y28" i="8"/>
  <c r="J28" i="8"/>
  <c r="Y27" i="8"/>
  <c r="J27" i="8"/>
  <c r="Y26" i="8"/>
  <c r="J26" i="8"/>
  <c r="Y25" i="8"/>
  <c r="J25" i="8"/>
  <c r="Y24" i="8"/>
  <c r="J24" i="8"/>
  <c r="Y23" i="8"/>
  <c r="J23" i="8"/>
  <c r="Y22" i="8"/>
  <c r="J22" i="8"/>
  <c r="Y21" i="8"/>
  <c r="J21" i="8"/>
  <c r="Y20" i="8"/>
  <c r="J20" i="8"/>
  <c r="Y19" i="8"/>
  <c r="J19" i="8"/>
  <c r="Y18" i="8"/>
  <c r="J18" i="8"/>
  <c r="Y17" i="8"/>
  <c r="J17" i="8"/>
  <c r="Y16" i="8"/>
  <c r="J16" i="8"/>
  <c r="Y15" i="8"/>
  <c r="J15" i="8"/>
  <c r="Y14" i="8"/>
  <c r="J14" i="8"/>
  <c r="Y13" i="8"/>
  <c r="J13" i="8"/>
  <c r="Y12" i="8"/>
  <c r="J12" i="8"/>
  <c r="Y11" i="8"/>
  <c r="J11" i="8"/>
  <c r="Y10" i="8"/>
  <c r="J10" i="8"/>
  <c r="Y9" i="8"/>
  <c r="J9" i="8"/>
  <c r="Y8" i="8"/>
  <c r="J8" i="8"/>
  <c r="Y7" i="8"/>
  <c r="J7" i="8"/>
  <c r="Y6" i="8"/>
  <c r="J6" i="8"/>
  <c r="Y5" i="8"/>
  <c r="J5" i="8"/>
  <c r="Y4" i="8"/>
  <c r="J4" i="8"/>
  <c r="Y3" i="8"/>
  <c r="J3" i="8"/>
  <c r="Y2" i="8"/>
  <c r="J2" i="8"/>
  <c r="Y46" i="7"/>
  <c r="J46" i="7"/>
  <c r="Y45" i="7"/>
  <c r="J45" i="7"/>
  <c r="Y44" i="7"/>
  <c r="J44" i="7"/>
  <c r="Y43" i="7"/>
  <c r="J43" i="7"/>
  <c r="Y42" i="7"/>
  <c r="J42" i="7"/>
  <c r="Y41" i="7"/>
  <c r="J41" i="7"/>
  <c r="Y40" i="7"/>
  <c r="J40" i="7"/>
  <c r="Y39" i="7"/>
  <c r="J39" i="7"/>
  <c r="Y38" i="7"/>
  <c r="J38" i="7"/>
  <c r="Y37" i="7"/>
  <c r="J37" i="7"/>
  <c r="Y36" i="7"/>
  <c r="J36" i="7"/>
  <c r="Y35" i="7"/>
  <c r="J35" i="7"/>
  <c r="Y34" i="7"/>
  <c r="J34" i="7"/>
  <c r="Y33" i="7"/>
  <c r="J33" i="7"/>
  <c r="Y32" i="7"/>
  <c r="J32" i="7"/>
  <c r="Y31" i="7"/>
  <c r="J31" i="7"/>
  <c r="Y30" i="7"/>
  <c r="J30" i="7"/>
  <c r="Y29" i="7"/>
  <c r="J29" i="7"/>
  <c r="Y28" i="7"/>
  <c r="J28" i="7"/>
  <c r="Y27" i="7"/>
  <c r="J27" i="7"/>
  <c r="Y26" i="7"/>
  <c r="J26" i="7"/>
  <c r="Y25" i="7"/>
  <c r="J25" i="7"/>
  <c r="Y24" i="7"/>
  <c r="J24" i="7"/>
  <c r="Y23" i="7"/>
  <c r="J23" i="7"/>
  <c r="Y22" i="7"/>
  <c r="J22" i="7"/>
  <c r="Y21" i="7"/>
  <c r="J21" i="7"/>
  <c r="Y20" i="7"/>
  <c r="J20" i="7"/>
  <c r="Y19" i="7"/>
  <c r="J19" i="7"/>
  <c r="Y18" i="7"/>
  <c r="J18" i="7"/>
  <c r="Y17" i="7"/>
  <c r="J17" i="7"/>
  <c r="Y16" i="7"/>
  <c r="J16" i="7"/>
  <c r="Y15" i="7"/>
  <c r="J15" i="7"/>
  <c r="Y14" i="7"/>
  <c r="J14" i="7"/>
  <c r="Y13" i="7"/>
  <c r="J13" i="7"/>
  <c r="Y12" i="7"/>
  <c r="J12" i="7"/>
  <c r="Y11" i="7"/>
  <c r="J11" i="7"/>
  <c r="Y10" i="7"/>
  <c r="J10" i="7"/>
  <c r="Y9" i="7"/>
  <c r="J9" i="7"/>
  <c r="Y8" i="7"/>
  <c r="J8" i="7"/>
  <c r="Y7" i="7"/>
  <c r="J7" i="7"/>
  <c r="Y6" i="7"/>
  <c r="J6" i="7"/>
  <c r="Y5" i="7"/>
  <c r="J5" i="7"/>
  <c r="Y4" i="7"/>
  <c r="J4" i="7"/>
  <c r="Y3" i="7"/>
  <c r="J3" i="7"/>
  <c r="Y2" i="7"/>
  <c r="J2" i="7"/>
  <c r="Y46" i="6"/>
  <c r="J46" i="6"/>
  <c r="Y45" i="6"/>
  <c r="J45" i="6"/>
  <c r="Y44" i="6"/>
  <c r="J44" i="6"/>
  <c r="Y43" i="6"/>
  <c r="J43" i="6"/>
  <c r="Y42" i="6"/>
  <c r="J42" i="6"/>
  <c r="Y41" i="6"/>
  <c r="J41" i="6"/>
  <c r="Y40" i="6"/>
  <c r="J40" i="6"/>
  <c r="Y39" i="6"/>
  <c r="J39" i="6"/>
  <c r="Y38" i="6"/>
  <c r="J38" i="6"/>
  <c r="Y37" i="6"/>
  <c r="J37" i="6"/>
  <c r="Y36" i="6"/>
  <c r="J36" i="6"/>
  <c r="Y35" i="6"/>
  <c r="J35" i="6"/>
  <c r="Y34" i="6"/>
  <c r="J34" i="6"/>
  <c r="Y33" i="6"/>
  <c r="J33" i="6"/>
  <c r="Y32" i="6"/>
  <c r="J32" i="6"/>
  <c r="Y31" i="6"/>
  <c r="J31" i="6"/>
  <c r="Y30" i="6"/>
  <c r="J30" i="6"/>
  <c r="Y29" i="6"/>
  <c r="J29" i="6"/>
  <c r="Y28" i="6"/>
  <c r="J28" i="6"/>
  <c r="Y27" i="6"/>
  <c r="J27" i="6"/>
  <c r="Y26" i="6"/>
  <c r="J26" i="6"/>
  <c r="Y25" i="6"/>
  <c r="J25" i="6"/>
  <c r="Y24" i="6"/>
  <c r="J24" i="6"/>
  <c r="Y23" i="6"/>
  <c r="J23" i="6"/>
  <c r="Y22" i="6"/>
  <c r="J22" i="6"/>
  <c r="Y21" i="6"/>
  <c r="J21" i="6"/>
  <c r="Y20" i="6"/>
  <c r="J20" i="6"/>
  <c r="Y19" i="6"/>
  <c r="J19" i="6"/>
  <c r="Y18" i="6"/>
  <c r="J18" i="6"/>
  <c r="Y17" i="6"/>
  <c r="J17" i="6"/>
  <c r="Y16" i="6"/>
  <c r="J16" i="6"/>
  <c r="Y15" i="6"/>
  <c r="J15" i="6"/>
  <c r="Y14" i="6"/>
  <c r="J14" i="6"/>
  <c r="Y13" i="6"/>
  <c r="J13" i="6"/>
  <c r="Y12" i="6"/>
  <c r="J12" i="6"/>
  <c r="Y11" i="6"/>
  <c r="J11" i="6"/>
  <c r="Y10" i="6"/>
  <c r="J10" i="6"/>
  <c r="Y9" i="6"/>
  <c r="J9" i="6"/>
  <c r="Y8" i="6"/>
  <c r="J8" i="6"/>
  <c r="Y7" i="6"/>
  <c r="J7" i="6"/>
  <c r="Y6" i="6"/>
  <c r="J6" i="6"/>
  <c r="Y5" i="6"/>
  <c r="J5" i="6"/>
  <c r="Y4" i="6"/>
  <c r="J4" i="6"/>
  <c r="Y3" i="6"/>
  <c r="J3" i="6"/>
  <c r="Y2" i="6"/>
  <c r="J2" i="6"/>
  <c r="Y46" i="5"/>
  <c r="J46" i="5"/>
  <c r="Y45" i="5"/>
  <c r="J45" i="5"/>
  <c r="Y44" i="5"/>
  <c r="J44" i="5"/>
  <c r="Y43" i="5"/>
  <c r="J43" i="5"/>
  <c r="Y42" i="5"/>
  <c r="J42" i="5"/>
  <c r="Y41" i="5"/>
  <c r="J41" i="5"/>
  <c r="Y40" i="5"/>
  <c r="J40" i="5"/>
  <c r="Y39" i="5"/>
  <c r="J39" i="5"/>
  <c r="Y38" i="5"/>
  <c r="J38" i="5"/>
  <c r="Y37" i="5"/>
  <c r="J37" i="5"/>
  <c r="Y36" i="5"/>
  <c r="J36" i="5"/>
  <c r="Y35" i="5"/>
  <c r="J35" i="5"/>
  <c r="Y34" i="5"/>
  <c r="J34" i="5"/>
  <c r="Y33" i="5"/>
  <c r="J33" i="5"/>
  <c r="Y32" i="5"/>
  <c r="J32" i="5"/>
  <c r="Y31" i="5"/>
  <c r="J31" i="5"/>
  <c r="Y30" i="5"/>
  <c r="J30" i="5"/>
  <c r="Y29" i="5"/>
  <c r="J29" i="5"/>
  <c r="Y28" i="5"/>
  <c r="J28" i="5"/>
  <c r="Y27" i="5"/>
  <c r="J27" i="5"/>
  <c r="Y26" i="5"/>
  <c r="J26" i="5"/>
  <c r="Y25" i="5"/>
  <c r="J25" i="5"/>
  <c r="Y24" i="5"/>
  <c r="J24" i="5"/>
  <c r="Y23" i="5"/>
  <c r="J23" i="5"/>
  <c r="Y22" i="5"/>
  <c r="J22" i="5"/>
  <c r="Y21" i="5"/>
  <c r="J21" i="5"/>
  <c r="Y20" i="5"/>
  <c r="J20" i="5"/>
  <c r="Y19" i="5"/>
  <c r="J19" i="5"/>
  <c r="Y18" i="5"/>
  <c r="J18" i="5"/>
  <c r="Y17" i="5"/>
  <c r="J17" i="5"/>
  <c r="Y16" i="5"/>
  <c r="J16" i="5"/>
  <c r="Y15" i="5"/>
  <c r="J15" i="5"/>
  <c r="Y14" i="5"/>
  <c r="J14" i="5"/>
  <c r="Y13" i="5"/>
  <c r="J13" i="5"/>
  <c r="Y12" i="5"/>
  <c r="J12" i="5"/>
  <c r="Y11" i="5"/>
  <c r="J11" i="5"/>
  <c r="Y10" i="5"/>
  <c r="J10" i="5"/>
  <c r="Y9" i="5"/>
  <c r="J9" i="5"/>
  <c r="Y8" i="5"/>
  <c r="J8" i="5"/>
  <c r="Y7" i="5"/>
  <c r="J7" i="5"/>
  <c r="Y6" i="5"/>
  <c r="J6" i="5"/>
  <c r="Y5" i="5"/>
  <c r="J5" i="5"/>
  <c r="Y4" i="5"/>
  <c r="J4" i="5"/>
  <c r="Y3" i="5"/>
  <c r="J3" i="5"/>
  <c r="Y2" i="5"/>
  <c r="J2" i="5"/>
  <c r="Y46" i="4"/>
  <c r="J46" i="4"/>
  <c r="Y45" i="4"/>
  <c r="J45" i="4"/>
  <c r="Y44" i="4"/>
  <c r="J44" i="4"/>
  <c r="Y43" i="4"/>
  <c r="J43" i="4"/>
  <c r="Y42" i="4"/>
  <c r="J42" i="4"/>
  <c r="Y41" i="4"/>
  <c r="J41" i="4"/>
  <c r="Y40" i="4"/>
  <c r="J40" i="4"/>
  <c r="Y39" i="4"/>
  <c r="J39" i="4"/>
  <c r="Y38" i="4"/>
  <c r="J38" i="4"/>
  <c r="Y37" i="4"/>
  <c r="J37" i="4"/>
  <c r="Y36" i="4"/>
  <c r="J36" i="4"/>
  <c r="Y35" i="4"/>
  <c r="J35" i="4"/>
  <c r="Y34" i="4"/>
  <c r="J34" i="4"/>
  <c r="Y33" i="4"/>
  <c r="J33" i="4"/>
  <c r="Y32" i="4"/>
  <c r="J32" i="4"/>
  <c r="Y31" i="4"/>
  <c r="J31" i="4"/>
  <c r="Y30" i="4"/>
  <c r="J30" i="4"/>
  <c r="Y29" i="4"/>
  <c r="J29" i="4"/>
  <c r="Y28" i="4"/>
  <c r="J28" i="4"/>
  <c r="Y27" i="4"/>
  <c r="J27" i="4"/>
  <c r="Y26" i="4"/>
  <c r="J26" i="4"/>
  <c r="Y25" i="4"/>
  <c r="J25" i="4"/>
  <c r="Y24" i="4"/>
  <c r="J24" i="4"/>
  <c r="Y23" i="4"/>
  <c r="J23" i="4"/>
  <c r="Y22" i="4"/>
  <c r="J22" i="4"/>
  <c r="Y21" i="4"/>
  <c r="J21" i="4"/>
  <c r="Y20" i="4"/>
  <c r="J20" i="4"/>
  <c r="Y19" i="4"/>
  <c r="J19" i="4"/>
  <c r="Y18" i="4"/>
  <c r="J18" i="4"/>
  <c r="Y17" i="4"/>
  <c r="J17" i="4"/>
  <c r="Y16" i="4"/>
  <c r="J16" i="4"/>
  <c r="Y15" i="4"/>
  <c r="J15" i="4"/>
  <c r="Y14" i="4"/>
  <c r="J14" i="4"/>
  <c r="Y13" i="4"/>
  <c r="J13" i="4"/>
  <c r="Y12" i="4"/>
  <c r="J12" i="4"/>
  <c r="Y11" i="4"/>
  <c r="J11" i="4"/>
  <c r="Y10" i="4"/>
  <c r="J10" i="4"/>
  <c r="Y9" i="4"/>
  <c r="J9" i="4"/>
  <c r="Y8" i="4"/>
  <c r="J8" i="4"/>
  <c r="Y7" i="4"/>
  <c r="J7" i="4"/>
  <c r="Y6" i="4"/>
  <c r="J6" i="4"/>
  <c r="Y5" i="4"/>
  <c r="J5" i="4"/>
  <c r="Y4" i="4"/>
  <c r="J4" i="4"/>
  <c r="Y3" i="4"/>
  <c r="J3" i="4"/>
  <c r="Y2" i="4"/>
  <c r="J2" i="4"/>
  <c r="Y46" i="3"/>
  <c r="J46" i="3"/>
  <c r="Y45" i="3"/>
  <c r="J45" i="3"/>
  <c r="Y44" i="3"/>
  <c r="J44" i="3"/>
  <c r="Y43" i="3"/>
  <c r="J43" i="3"/>
  <c r="Y42" i="3"/>
  <c r="J42" i="3"/>
  <c r="Y41" i="3"/>
  <c r="J41" i="3"/>
  <c r="Y40" i="3"/>
  <c r="J40" i="3"/>
  <c r="Y39" i="3"/>
  <c r="J39" i="3"/>
  <c r="Y38" i="3"/>
  <c r="J38" i="3"/>
  <c r="Y37" i="3"/>
  <c r="J37" i="3"/>
  <c r="Y36" i="3"/>
  <c r="J36" i="3"/>
  <c r="Y35" i="3"/>
  <c r="J35" i="3"/>
  <c r="Y34" i="3"/>
  <c r="J34" i="3"/>
  <c r="Y33" i="3"/>
  <c r="J33" i="3"/>
  <c r="Y32" i="3"/>
  <c r="J32" i="3"/>
  <c r="Y31" i="3"/>
  <c r="J31" i="3"/>
  <c r="Y30" i="3"/>
  <c r="J30" i="3"/>
  <c r="Y29" i="3"/>
  <c r="J29" i="3"/>
  <c r="Y28" i="3"/>
  <c r="J28" i="3"/>
  <c r="Y27" i="3"/>
  <c r="J27" i="3"/>
  <c r="Y26" i="3"/>
  <c r="J26" i="3"/>
  <c r="Y25" i="3"/>
  <c r="J25" i="3"/>
  <c r="Y24" i="3"/>
  <c r="J24" i="3"/>
  <c r="Y23" i="3"/>
  <c r="J23" i="3"/>
  <c r="Y22" i="3"/>
  <c r="J22" i="3"/>
  <c r="Y21" i="3"/>
  <c r="J21" i="3"/>
  <c r="Y20" i="3"/>
  <c r="J20" i="3"/>
  <c r="Y19" i="3"/>
  <c r="J19" i="3"/>
  <c r="Y18" i="3"/>
  <c r="J18" i="3"/>
  <c r="Y17" i="3"/>
  <c r="J17" i="3"/>
  <c r="Y16" i="3"/>
  <c r="J16" i="3"/>
  <c r="Y15" i="3"/>
  <c r="J15" i="3"/>
  <c r="Y14" i="3"/>
  <c r="J14" i="3"/>
  <c r="Y13" i="3"/>
  <c r="J13" i="3"/>
  <c r="Y12" i="3"/>
  <c r="J12" i="3"/>
  <c r="Y11" i="3"/>
  <c r="J11" i="3"/>
  <c r="Y10" i="3"/>
  <c r="J10" i="3"/>
  <c r="Y9" i="3"/>
  <c r="J9" i="3"/>
  <c r="Y8" i="3"/>
  <c r="J8" i="3"/>
  <c r="Y7" i="3"/>
  <c r="J7" i="3"/>
  <c r="Y6" i="3"/>
  <c r="J6" i="3"/>
  <c r="Y5" i="3"/>
  <c r="J5" i="3"/>
  <c r="Y4" i="3"/>
  <c r="J4" i="3"/>
  <c r="Y3" i="3"/>
  <c r="J3" i="3"/>
  <c r="Y2" i="3"/>
  <c r="J2" i="3"/>
  <c r="AD46" i="2"/>
  <c r="J46" i="2"/>
  <c r="AD45" i="2"/>
  <c r="J45" i="2"/>
  <c r="AD44" i="2"/>
  <c r="J44" i="2"/>
  <c r="AD43" i="2"/>
  <c r="J43" i="2"/>
  <c r="AD42" i="2"/>
  <c r="J42" i="2"/>
  <c r="AD41" i="2"/>
  <c r="J41" i="2"/>
  <c r="AD40" i="2"/>
  <c r="J40" i="2"/>
  <c r="AD39" i="2"/>
  <c r="J39" i="2"/>
  <c r="AD38" i="2"/>
  <c r="J38" i="2"/>
  <c r="AD37" i="2"/>
  <c r="J37" i="2"/>
  <c r="AD36" i="2"/>
  <c r="J36" i="2"/>
  <c r="AD35" i="2"/>
  <c r="J35" i="2"/>
  <c r="AD34" i="2"/>
  <c r="J34" i="2"/>
  <c r="AD33" i="2"/>
  <c r="J33" i="2"/>
  <c r="AD32" i="2"/>
  <c r="J32" i="2"/>
  <c r="AD31" i="2"/>
  <c r="J31" i="2"/>
  <c r="AD30" i="2"/>
  <c r="J30" i="2"/>
  <c r="AD29" i="2"/>
  <c r="J29" i="2"/>
  <c r="AD28" i="2"/>
  <c r="J28" i="2"/>
  <c r="AD27" i="2"/>
  <c r="J27" i="2"/>
  <c r="AD26" i="2"/>
  <c r="J26" i="2"/>
  <c r="AD25" i="2"/>
  <c r="J25" i="2"/>
  <c r="AD24" i="2"/>
  <c r="J24" i="2"/>
  <c r="AD23" i="2"/>
  <c r="J23" i="2"/>
  <c r="AD22" i="2"/>
  <c r="J22" i="2"/>
  <c r="AD21" i="2"/>
  <c r="J21" i="2"/>
  <c r="AD20" i="2"/>
  <c r="J20" i="2"/>
  <c r="AD19" i="2"/>
  <c r="J19" i="2"/>
  <c r="AD18" i="2"/>
  <c r="J18" i="2"/>
  <c r="AD17" i="2"/>
  <c r="J17" i="2"/>
  <c r="AD16" i="2"/>
  <c r="J16" i="2"/>
  <c r="AD15" i="2"/>
  <c r="J15" i="2"/>
  <c r="AD14" i="2"/>
  <c r="J14" i="2"/>
  <c r="AD13" i="2"/>
  <c r="J13" i="2"/>
  <c r="AD12" i="2"/>
  <c r="J12" i="2"/>
  <c r="AD11" i="2"/>
  <c r="J11" i="2"/>
  <c r="AD10" i="2"/>
  <c r="J10" i="2"/>
  <c r="AD9" i="2"/>
  <c r="J9" i="2"/>
  <c r="AD8" i="2"/>
  <c r="J8" i="2"/>
  <c r="AD7" i="2"/>
  <c r="J7" i="2"/>
  <c r="AD6" i="2"/>
  <c r="J6" i="2"/>
  <c r="AD5" i="2"/>
  <c r="J5" i="2"/>
  <c r="AD4" i="2"/>
  <c r="J4" i="2"/>
  <c r="AD3" i="2"/>
  <c r="J3" i="2"/>
  <c r="AD2" i="2"/>
  <c r="J2" i="2"/>
</calcChain>
</file>

<file path=xl/sharedStrings.xml><?xml version="1.0" encoding="utf-8"?>
<sst xmlns="http://schemas.openxmlformats.org/spreadsheetml/2006/main" count="1689" uniqueCount="135">
  <si>
    <t>VY = vehicule rimonabant + Yohimbine 2mg/kg</t>
  </si>
  <si>
    <t>vehicule rimonabant = 5% DMSO/40% PEG300/5% Tween-80/50% NaCl 0.9%</t>
  </si>
  <si>
    <t>R1Y = rimonabant 1mg/kg + Yohimbine 2mg/kg</t>
  </si>
  <si>
    <t>Rimonabant 1mg/kg concentration = 0.8mg/mL</t>
  </si>
  <si>
    <t>R3Y = rimonabant 3mg/kg + Yohimbine 2mg/kg</t>
  </si>
  <si>
    <t>Rimonabant 3mg/kg concentration = 2.5mg/mL</t>
  </si>
  <si>
    <t>VV = vehicule rimonabant + vehicule yohimbine</t>
  </si>
  <si>
    <t>Yohimbine vehicule = NaCl 0.9%</t>
  </si>
  <si>
    <t>R1V = rimonabant 1mg/kg + vehicule yohimbine</t>
  </si>
  <si>
    <t>Yohimbine 2mg/kg concentration = 1.5mg/mL</t>
  </si>
  <si>
    <t>R3V = rimonabant 3mg/kg + vehicule yohimbine</t>
  </si>
  <si>
    <t>Sujets</t>
  </si>
  <si>
    <t>Groupes</t>
  </si>
  <si>
    <t>Cage</t>
  </si>
  <si>
    <t>Poids</t>
  </si>
  <si>
    <t>Dose</t>
  </si>
  <si>
    <t>Time mark</t>
  </si>
  <si>
    <t>T start</t>
  </si>
  <si>
    <t>T end</t>
  </si>
  <si>
    <t>Notes</t>
  </si>
  <si>
    <t>659V</t>
  </si>
  <si>
    <t>VY</t>
  </si>
  <si>
    <t>1S</t>
  </si>
  <si>
    <t>670V</t>
  </si>
  <si>
    <t>8S</t>
  </si>
  <si>
    <t>819V</t>
  </si>
  <si>
    <t>14S</t>
  </si>
  <si>
    <t>812V</t>
  </si>
  <si>
    <t>20S</t>
  </si>
  <si>
    <t>633*V</t>
  </si>
  <si>
    <t>1D</t>
  </si>
  <si>
    <t>V640*</t>
  </si>
  <si>
    <t>6D</t>
  </si>
  <si>
    <t>735*V</t>
  </si>
  <si>
    <t>8D</t>
  </si>
  <si>
    <t>V750*</t>
  </si>
  <si>
    <t>10D</t>
  </si>
  <si>
    <t>975V</t>
  </si>
  <si>
    <t>R1Y</t>
  </si>
  <si>
    <t>4S</t>
  </si>
  <si>
    <t>V671</t>
  </si>
  <si>
    <t>V811</t>
  </si>
  <si>
    <t>16S</t>
  </si>
  <si>
    <t>820V</t>
  </si>
  <si>
    <t>21S</t>
  </si>
  <si>
    <t>V745</t>
  </si>
  <si>
    <t>4D</t>
  </si>
  <si>
    <t>V641</t>
  </si>
  <si>
    <t>7D</t>
  </si>
  <si>
    <t>V647*</t>
  </si>
  <si>
    <t>V741</t>
  </si>
  <si>
    <t>13D</t>
  </si>
  <si>
    <t>V654</t>
  </si>
  <si>
    <t>R3Y</t>
  </si>
  <si>
    <t>667V</t>
  </si>
  <si>
    <t>9S</t>
  </si>
  <si>
    <t>V804</t>
  </si>
  <si>
    <t>17S</t>
  </si>
  <si>
    <t>V598</t>
  </si>
  <si>
    <t>22S</t>
  </si>
  <si>
    <t>746*V</t>
  </si>
  <si>
    <t>733*V</t>
  </si>
  <si>
    <t>V736</t>
  </si>
  <si>
    <t>9D</t>
  </si>
  <si>
    <t>739*V</t>
  </si>
  <si>
    <t>661V</t>
  </si>
  <si>
    <t>VV</t>
  </si>
  <si>
    <t>5S</t>
  </si>
  <si>
    <t>813V</t>
  </si>
  <si>
    <t>10S</t>
  </si>
  <si>
    <t>803V</t>
  </si>
  <si>
    <t>18S</t>
  </si>
  <si>
    <t>597*V</t>
  </si>
  <si>
    <t>24S</t>
  </si>
  <si>
    <t>V747*</t>
  </si>
  <si>
    <t>V643*</t>
  </si>
  <si>
    <t>666V</t>
  </si>
  <si>
    <t>V672</t>
  </si>
  <si>
    <t>R1V</t>
  </si>
  <si>
    <t>6S</t>
  </si>
  <si>
    <t>806V</t>
  </si>
  <si>
    <t>13S</t>
  </si>
  <si>
    <t>V815</t>
  </si>
  <si>
    <t>592V</t>
  </si>
  <si>
    <t>648V</t>
  </si>
  <si>
    <t>734V</t>
  </si>
  <si>
    <t>V652</t>
  </si>
  <si>
    <t>V653</t>
  </si>
  <si>
    <t>R3V</t>
  </si>
  <si>
    <t>7S</t>
  </si>
  <si>
    <t>V665</t>
  </si>
  <si>
    <t>823V</t>
  </si>
  <si>
    <t>19S</t>
  </si>
  <si>
    <t>V629</t>
  </si>
  <si>
    <t>V732</t>
  </si>
  <si>
    <t>V646</t>
  </si>
  <si>
    <t>749*V</t>
  </si>
  <si>
    <t>Rendu trop tard pour faire cette batc... Le rimo +yo va ruiner leur cycle circadien et scrapper les données de demain</t>
  </si>
  <si>
    <t>Oublié de donner véicule....</t>
  </si>
  <si>
    <t>pas tout recue la dose YoH</t>
  </si>
  <si>
    <t>(pas tout recue la dose Rimo</t>
  </si>
  <si>
    <t>(pas tout recue la dose YoH</t>
  </si>
  <si>
    <t>(na pas tout recu la dose rimo</t>
  </si>
  <si>
    <t>(pas tout recu la dose Yoh</t>
  </si>
  <si>
    <t>(presque tout recu la dose YoH</t>
  </si>
  <si>
    <t>(je ne sais pas si elle la recu Yoh</t>
  </si>
  <si>
    <t>(pas tout recu la dose Rimo</t>
  </si>
  <si>
    <t>pas tout recu la dose Rimo</t>
  </si>
  <si>
    <t>(peux-etre pas tout recu la dose YoH</t>
  </si>
  <si>
    <t>he's eating te operant camber</t>
  </si>
  <si>
    <t>(pas toute recue la dose Rimo</t>
  </si>
  <si>
    <t>(presque toute recue la dose rimo</t>
  </si>
  <si>
    <t>presque tout recue la dose Yoh</t>
  </si>
  <si>
    <t>(presque tout recu la dose yoh et Rimo</t>
  </si>
  <si>
    <t>Il a une blessure de violance entre rat</t>
  </si>
  <si>
    <t>pas recu toute la dose rimo</t>
  </si>
  <si>
    <t>(pas tout reçus la dose Yoh</t>
  </si>
  <si>
    <t>(pas tout reçu la dose yoh</t>
  </si>
  <si>
    <t>(peux-être pas tout reçu la dose Rimo</t>
  </si>
  <si>
    <t xml:space="preserve"> (pense pas qu'elle l'à tout reçu rimo</t>
  </si>
  <si>
    <t>(peut etre pas recue toute la dose rimo</t>
  </si>
  <si>
    <t xml:space="preserve"> (pas tout reçu la dose yoh</t>
  </si>
  <si>
    <t xml:space="preserve"> (pas tout recu la dose Yoh</t>
  </si>
  <si>
    <t>(presque tout la dose yoh</t>
  </si>
  <si>
    <t>(pas reçus tout la dose mais presque yoh</t>
  </si>
  <si>
    <t>(pas tout reçu la dose rimo</t>
  </si>
  <si>
    <t>(pas reçu tout la dose Yoh</t>
  </si>
  <si>
    <t>peux-être pas tout reçu sa dose rimo</t>
  </si>
  <si>
    <t>(pas reçus tout la dose yoh</t>
  </si>
  <si>
    <t xml:space="preserve"> (peux-être pas tout reçu la dose rimo</t>
  </si>
  <si>
    <t>(n'as peux-etre pas tout reçu la dose rimo</t>
  </si>
  <si>
    <t>(dose pas tout injecté, j'ai du arrêté l'i.p. yoh</t>
  </si>
  <si>
    <t>(mauvaise dose... reçu 3mg/kg...)</t>
  </si>
  <si>
    <t>Rien fait du tout en 5-csrtt</t>
  </si>
  <si>
    <t>gémissements aigue et tortillement. Pause du protocole rimo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</si>
</sst>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</font>
    <font>
      <sz val="12"/>
      <name val="Calibri"/>
    </font>
    <font>
      <sz val="11"/>
      <name val="Roboto"/>
    </font>
    <font>
      <sz val="9"/>
      <name val="Roboto"/>
    </font>
    <font>
      <sz val="10"/>
      <color rgb="FFFFFFFF"/>
      <name val="Roboto"/>
    </font>
    <font>
      <sz val="9"/>
      <color rgb="FFFFFFFF"/>
      <name val="Roboto"/>
    </font>
    <font>
      <sz val="10"/>
      <color rgb="FF434343"/>
      <name val="Roboto"/>
    </font>
    <font>
      <b/>
      <sz val="10"/>
      <color rgb="FFFFFFFF"/>
      <name val="Roboto"/>
    </font>
    <font>
      <sz val="12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B7B7B7"/>
        <bgColor rgb="FFB7B7B7"/>
      </patternFill>
    </fill>
    <fill>
      <patternFill patternType="solid">
        <fgColor rgb="FF674EA7"/>
        <bgColor rgb="FF674EA7"/>
      </patternFill>
    </fill>
    <fill>
      <patternFill patternType="solid">
        <fgColor rgb="FF3D85C6"/>
        <bgColor rgb="FF3D85C6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6" fillId="4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7" fillId="7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center" wrapText="1"/>
    </xf>
    <xf numFmtId="0" fontId="8" fillId="6" borderId="4" xfId="0" applyFont="1" applyFill="1" applyBorder="1"/>
    <xf numFmtId="0" fontId="8" fillId="7" borderId="4" xfId="0" applyFont="1" applyFill="1" applyBorder="1"/>
    <xf numFmtId="0" fontId="8" fillId="6" borderId="5" xfId="0" applyFont="1" applyFill="1" applyBorder="1"/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8" fillId="8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7" fillId="7" borderId="4" xfId="0" applyFont="1" applyFill="1" applyBorder="1" applyAlignment="1">
      <alignment horizontal="center" vertical="center"/>
    </xf>
    <xf numFmtId="0" fontId="8" fillId="7" borderId="4" xfId="0" applyFont="1" applyFill="1" applyBorder="1"/>
    <xf numFmtId="0" fontId="7" fillId="8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/>
    <xf numFmtId="0" fontId="1" fillId="0" borderId="2" xfId="0" applyFont="1" applyBorder="1"/>
    <xf numFmtId="0" fontId="1" fillId="8" borderId="4" xfId="0" applyFont="1" applyFill="1" applyBorder="1"/>
    <xf numFmtId="0" fontId="8" fillId="6" borderId="4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8" fillId="6" borderId="5" xfId="0" applyFont="1" applyFill="1" applyBorder="1"/>
    <xf numFmtId="0" fontId="8" fillId="7" borderId="5" xfId="0" applyFont="1" applyFill="1" applyBorder="1"/>
    <xf numFmtId="0" fontId="7" fillId="6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1" fillId="7" borderId="4" xfId="0" applyFont="1" applyFill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6" borderId="4" xfId="0" applyFont="1" applyFill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9" sqref="B9"/>
    </sheetView>
  </sheetViews>
  <sheetFormatPr baseColWidth="10" defaultColWidth="13.4140625" defaultRowHeight="15" customHeight="1" x14ac:dyDescent="0.35"/>
  <cols>
    <col min="1" max="1" width="46.08203125" customWidth="1"/>
    <col min="2" max="2" width="59.0820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5C6"/>
    <outlinePr summaryBelow="0" summaryRight="0"/>
    <pageSetUpPr fitToPage="1"/>
  </sheetPr>
  <dimension ref="A1:GG71"/>
  <sheetViews>
    <sheetView showGridLines="0" workbookViewId="0">
      <selection activeCell="BD24" sqref="BD24"/>
    </sheetView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75" customWidth="1"/>
    <col min="4" max="4" width="15.75" customWidth="1"/>
    <col min="5" max="5" width="13.1640625" customWidth="1"/>
    <col min="6" max="6" width="1.25" hidden="1" customWidth="1"/>
    <col min="7" max="7" width="3" hidden="1" customWidth="1"/>
    <col min="8" max="8" width="0.4140625" hidden="1" customWidth="1"/>
    <col min="9" max="9" width="8.203125E-2" hidden="1" customWidth="1"/>
    <col min="10" max="10" width="7.6640625" customWidth="1"/>
    <col min="11" max="11" width="3" hidden="1" customWidth="1"/>
    <col min="12" max="12" width="0.25" hidden="1" customWidth="1"/>
    <col min="13" max="13" width="1.08203125" hidden="1" customWidth="1"/>
    <col min="14" max="19" width="3" hidden="1" customWidth="1"/>
    <col min="20" max="20" width="51.1640625" customWidth="1"/>
    <col min="21" max="21" width="8.203125E-2" customWidth="1"/>
    <col min="22" max="22" width="1.4140625" hidden="1" customWidth="1"/>
    <col min="23" max="23" width="3" hidden="1" customWidth="1"/>
    <col min="24" max="24" width="24.58203125" hidden="1" customWidth="1"/>
    <col min="25" max="25" width="14.1640625" customWidth="1"/>
    <col min="26" max="26" width="8.203125E-2" customWidth="1"/>
    <col min="27" max="28" width="3" hidden="1" customWidth="1"/>
    <col min="29" max="29" width="2.75" hidden="1" customWidth="1"/>
    <col min="30" max="30" width="3" hidden="1" customWidth="1"/>
    <col min="31" max="83" width="3" customWidth="1"/>
    <col min="84" max="84" width="12.25" customWidth="1"/>
    <col min="85" max="189" width="3" customWidth="1"/>
  </cols>
  <sheetData>
    <row r="1" spans="1:54" ht="21" customHeight="1" x14ac:dyDescent="0.35">
      <c r="A1" s="3"/>
      <c r="B1" s="4" t="s">
        <v>11</v>
      </c>
      <c r="C1" s="4" t="s">
        <v>12</v>
      </c>
      <c r="D1" s="4" t="s">
        <v>13</v>
      </c>
      <c r="E1" s="5" t="s">
        <v>14</v>
      </c>
      <c r="J1" s="5" t="s">
        <v>15</v>
      </c>
      <c r="T1" s="18" t="s">
        <v>16</v>
      </c>
      <c r="U1" s="19"/>
      <c r="V1" s="19"/>
      <c r="W1" s="19"/>
      <c r="X1" s="20"/>
      <c r="Y1" s="5" t="s">
        <v>14</v>
      </c>
      <c r="AD1" s="27" t="s">
        <v>15</v>
      </c>
      <c r="AE1" s="28"/>
      <c r="AF1" s="28"/>
      <c r="AG1" s="28"/>
      <c r="AH1" s="28"/>
      <c r="AI1" s="27" t="s">
        <v>16</v>
      </c>
      <c r="AJ1" s="28"/>
      <c r="AK1" s="28"/>
      <c r="AL1" s="28"/>
      <c r="AM1" s="29"/>
      <c r="AN1" s="27" t="s">
        <v>17</v>
      </c>
      <c r="AO1" s="28"/>
      <c r="AP1" s="28"/>
      <c r="AQ1" s="28"/>
      <c r="AR1" s="28"/>
      <c r="AS1" s="27" t="s">
        <v>18</v>
      </c>
      <c r="AT1" s="28"/>
      <c r="AU1" s="28"/>
      <c r="AV1" s="28"/>
      <c r="AW1" s="28"/>
      <c r="AX1" s="27" t="s">
        <v>19</v>
      </c>
      <c r="AY1" s="28"/>
      <c r="AZ1" s="28"/>
      <c r="BA1" s="28"/>
      <c r="BB1" s="29"/>
    </row>
    <row r="2" spans="1:54" ht="21" customHeight="1" x14ac:dyDescent="0.35">
      <c r="A2" s="6"/>
      <c r="B2" s="7" t="s">
        <v>20</v>
      </c>
      <c r="C2" s="7" t="s">
        <v>21</v>
      </c>
      <c r="D2" s="8" t="s">
        <v>22</v>
      </c>
      <c r="E2" s="9"/>
      <c r="F2" s="10"/>
      <c r="G2" s="10"/>
      <c r="H2" s="10"/>
      <c r="I2" s="11"/>
      <c r="J2" s="9">
        <f t="shared" ref="J2:J17" si="0">E2*0.00125</f>
        <v>0</v>
      </c>
      <c r="K2" s="10"/>
      <c r="L2" s="10"/>
      <c r="M2" s="10"/>
      <c r="N2" s="11"/>
      <c r="O2" s="10"/>
      <c r="P2" s="10"/>
      <c r="Q2" s="10"/>
      <c r="R2" s="10"/>
      <c r="S2" s="10"/>
      <c r="T2" s="9"/>
      <c r="U2" s="10"/>
      <c r="V2" s="10"/>
      <c r="W2" s="10"/>
      <c r="X2" s="11"/>
      <c r="Y2" s="12"/>
      <c r="Z2" s="10"/>
      <c r="AA2" s="10"/>
      <c r="AB2" s="10"/>
      <c r="AC2" s="11"/>
      <c r="AD2" s="24">
        <f t="shared" ref="AD2:AD46" si="1">Y2*0.001333</f>
        <v>0</v>
      </c>
      <c r="AE2" s="22"/>
      <c r="AF2" s="22"/>
      <c r="AG2" s="22"/>
      <c r="AH2" s="23"/>
      <c r="AI2" s="24"/>
      <c r="AJ2" s="22"/>
      <c r="AK2" s="22"/>
      <c r="AL2" s="22"/>
      <c r="AM2" s="23"/>
      <c r="AN2" s="26"/>
      <c r="AO2" s="22"/>
      <c r="AP2" s="22"/>
      <c r="AQ2" s="22"/>
      <c r="AR2" s="23"/>
      <c r="AS2" s="26"/>
      <c r="AT2" s="22"/>
      <c r="AU2" s="22"/>
      <c r="AV2" s="22"/>
      <c r="AW2" s="23"/>
      <c r="AX2" s="26"/>
      <c r="AY2" s="22"/>
      <c r="AZ2" s="22"/>
      <c r="BA2" s="22"/>
      <c r="BB2" s="23"/>
    </row>
    <row r="3" spans="1:54" ht="21" customHeight="1" x14ac:dyDescent="0.35">
      <c r="A3" s="6"/>
      <c r="B3" s="7" t="s">
        <v>23</v>
      </c>
      <c r="C3" s="7" t="s">
        <v>21</v>
      </c>
      <c r="D3" s="8" t="s">
        <v>24</v>
      </c>
      <c r="E3" s="13"/>
      <c r="F3" s="10"/>
      <c r="G3" s="10"/>
      <c r="H3" s="10"/>
      <c r="I3" s="11"/>
      <c r="J3" s="9">
        <f t="shared" si="0"/>
        <v>0</v>
      </c>
      <c r="K3" s="10"/>
      <c r="L3" s="10"/>
      <c r="M3" s="10"/>
      <c r="N3" s="11"/>
      <c r="O3" s="10"/>
      <c r="P3" s="10"/>
      <c r="Q3" s="10"/>
      <c r="R3" s="10"/>
      <c r="S3" s="10"/>
      <c r="T3" s="9"/>
      <c r="U3" s="10"/>
      <c r="V3" s="10"/>
      <c r="W3" s="10"/>
      <c r="X3" s="11"/>
      <c r="Y3" s="12"/>
      <c r="Z3" s="10"/>
      <c r="AA3" s="10"/>
      <c r="AB3" s="10"/>
      <c r="AC3" s="11"/>
      <c r="AD3" s="24">
        <f t="shared" si="1"/>
        <v>0</v>
      </c>
      <c r="AE3" s="22"/>
      <c r="AF3" s="22"/>
      <c r="AG3" s="22"/>
      <c r="AH3" s="23"/>
      <c r="AI3" s="24"/>
      <c r="AJ3" s="22"/>
      <c r="AK3" s="22"/>
      <c r="AL3" s="22"/>
      <c r="AM3" s="23"/>
      <c r="AN3" s="26"/>
      <c r="AO3" s="22"/>
      <c r="AP3" s="22"/>
      <c r="AQ3" s="22"/>
      <c r="AR3" s="23"/>
      <c r="AS3" s="26"/>
      <c r="AT3" s="22"/>
      <c r="AU3" s="22"/>
      <c r="AV3" s="22"/>
      <c r="AW3" s="23"/>
      <c r="AX3" s="26"/>
      <c r="AY3" s="22"/>
      <c r="AZ3" s="22"/>
      <c r="BA3" s="22"/>
      <c r="BB3" s="23"/>
    </row>
    <row r="4" spans="1:54" ht="21" customHeight="1" x14ac:dyDescent="0.35">
      <c r="A4" s="6"/>
      <c r="B4" s="7" t="s">
        <v>25</v>
      </c>
      <c r="C4" s="7" t="s">
        <v>21</v>
      </c>
      <c r="D4" s="8" t="s">
        <v>26</v>
      </c>
      <c r="E4" s="13"/>
      <c r="F4" s="10"/>
      <c r="G4" s="10"/>
      <c r="H4" s="10"/>
      <c r="I4" s="11"/>
      <c r="J4" s="9">
        <f t="shared" si="0"/>
        <v>0</v>
      </c>
      <c r="K4" s="10"/>
      <c r="L4" s="10"/>
      <c r="M4" s="10"/>
      <c r="N4" s="11"/>
      <c r="O4" s="10"/>
      <c r="P4" s="10"/>
      <c r="Q4" s="10"/>
      <c r="R4" s="10"/>
      <c r="S4" s="10"/>
      <c r="T4" s="9"/>
      <c r="U4" s="10"/>
      <c r="V4" s="10"/>
      <c r="W4" s="10"/>
      <c r="X4" s="11"/>
      <c r="Y4" s="12"/>
      <c r="Z4" s="10"/>
      <c r="AA4" s="10"/>
      <c r="AB4" s="10"/>
      <c r="AC4" s="11"/>
      <c r="AD4" s="24">
        <f t="shared" si="1"/>
        <v>0</v>
      </c>
      <c r="AE4" s="22"/>
      <c r="AF4" s="22"/>
      <c r="AG4" s="22"/>
      <c r="AH4" s="23"/>
      <c r="AI4" s="24"/>
      <c r="AJ4" s="22"/>
      <c r="AK4" s="22"/>
      <c r="AL4" s="22"/>
      <c r="AM4" s="23"/>
      <c r="AN4" s="26"/>
      <c r="AO4" s="22"/>
      <c r="AP4" s="22"/>
      <c r="AQ4" s="22"/>
      <c r="AR4" s="23"/>
      <c r="AS4" s="26"/>
      <c r="AT4" s="22"/>
      <c r="AU4" s="22"/>
      <c r="AV4" s="22"/>
      <c r="AW4" s="23"/>
      <c r="AX4" s="26"/>
      <c r="AY4" s="22"/>
      <c r="AZ4" s="22"/>
      <c r="BA4" s="22"/>
      <c r="BB4" s="23"/>
    </row>
    <row r="5" spans="1:54" ht="21" customHeight="1" x14ac:dyDescent="0.35">
      <c r="A5" s="6"/>
      <c r="B5" s="7" t="s">
        <v>27</v>
      </c>
      <c r="C5" s="7" t="s">
        <v>21</v>
      </c>
      <c r="D5" s="8" t="s">
        <v>28</v>
      </c>
      <c r="E5" s="13"/>
      <c r="F5" s="10"/>
      <c r="G5" s="10"/>
      <c r="H5" s="10"/>
      <c r="I5" s="11"/>
      <c r="J5" s="9">
        <f t="shared" si="0"/>
        <v>0</v>
      </c>
      <c r="K5" s="10"/>
      <c r="L5" s="10"/>
      <c r="M5" s="10"/>
      <c r="N5" s="11"/>
      <c r="O5" s="10"/>
      <c r="P5" s="10"/>
      <c r="Q5" s="10"/>
      <c r="R5" s="10"/>
      <c r="S5" s="10"/>
      <c r="T5" s="9"/>
      <c r="U5" s="10"/>
      <c r="V5" s="10"/>
      <c r="W5" s="10"/>
      <c r="X5" s="11"/>
      <c r="Y5" s="12"/>
      <c r="Z5" s="10"/>
      <c r="AA5" s="10"/>
      <c r="AB5" s="10"/>
      <c r="AC5" s="11"/>
      <c r="AD5" s="24">
        <f t="shared" si="1"/>
        <v>0</v>
      </c>
      <c r="AE5" s="22"/>
      <c r="AF5" s="22"/>
      <c r="AG5" s="22"/>
      <c r="AH5" s="23"/>
      <c r="AI5" s="24"/>
      <c r="AJ5" s="22"/>
      <c r="AK5" s="22"/>
      <c r="AL5" s="22"/>
      <c r="AM5" s="23"/>
      <c r="AN5" s="26"/>
      <c r="AO5" s="22"/>
      <c r="AP5" s="22"/>
      <c r="AQ5" s="22"/>
      <c r="AR5" s="23"/>
      <c r="AS5" s="26"/>
      <c r="AT5" s="22"/>
      <c r="AU5" s="22"/>
      <c r="AV5" s="22"/>
      <c r="AW5" s="23"/>
      <c r="AX5" s="26"/>
      <c r="AY5" s="22"/>
      <c r="AZ5" s="22"/>
      <c r="BA5" s="22"/>
      <c r="BB5" s="23"/>
    </row>
    <row r="6" spans="1:54" ht="21" customHeight="1" x14ac:dyDescent="0.35">
      <c r="A6" s="6"/>
      <c r="B6" s="7" t="s">
        <v>29</v>
      </c>
      <c r="C6" s="7" t="s">
        <v>21</v>
      </c>
      <c r="D6" s="14" t="s">
        <v>30</v>
      </c>
      <c r="E6" s="9"/>
      <c r="F6" s="10"/>
      <c r="G6" s="10"/>
      <c r="H6" s="10"/>
      <c r="I6" s="11"/>
      <c r="J6" s="9">
        <f t="shared" si="0"/>
        <v>0</v>
      </c>
      <c r="K6" s="10"/>
      <c r="L6" s="10"/>
      <c r="M6" s="10"/>
      <c r="N6" s="11"/>
      <c r="O6" s="10"/>
      <c r="P6" s="10"/>
      <c r="Q6" s="10"/>
      <c r="R6" s="10"/>
      <c r="S6" s="10"/>
      <c r="T6" s="9"/>
      <c r="U6" s="10"/>
      <c r="V6" s="10"/>
      <c r="W6" s="10"/>
      <c r="X6" s="11"/>
      <c r="Y6" s="12"/>
      <c r="Z6" s="10"/>
      <c r="AA6" s="10"/>
      <c r="AB6" s="10"/>
      <c r="AC6" s="11"/>
      <c r="AD6" s="24">
        <f t="shared" si="1"/>
        <v>0</v>
      </c>
      <c r="AE6" s="22"/>
      <c r="AF6" s="22"/>
      <c r="AG6" s="22"/>
      <c r="AH6" s="23"/>
      <c r="AI6" s="24"/>
      <c r="AJ6" s="22"/>
      <c r="AK6" s="22"/>
      <c r="AL6" s="22"/>
      <c r="AM6" s="23"/>
      <c r="AN6" s="26"/>
      <c r="AO6" s="22"/>
      <c r="AP6" s="22"/>
      <c r="AQ6" s="22"/>
      <c r="AR6" s="23"/>
      <c r="AS6" s="26"/>
      <c r="AT6" s="22"/>
      <c r="AU6" s="22"/>
      <c r="AV6" s="22"/>
      <c r="AW6" s="23"/>
      <c r="AX6" s="26"/>
      <c r="AY6" s="22"/>
      <c r="AZ6" s="22"/>
      <c r="BA6" s="22"/>
      <c r="BB6" s="23"/>
    </row>
    <row r="7" spans="1:54" ht="21" customHeight="1" x14ac:dyDescent="0.35">
      <c r="A7" s="6"/>
      <c r="B7" s="7" t="s">
        <v>31</v>
      </c>
      <c r="C7" s="7" t="s">
        <v>21</v>
      </c>
      <c r="D7" s="14" t="s">
        <v>32</v>
      </c>
      <c r="E7" s="9"/>
      <c r="F7" s="10"/>
      <c r="G7" s="10"/>
      <c r="H7" s="10"/>
      <c r="I7" s="11"/>
      <c r="J7" s="9">
        <f t="shared" si="0"/>
        <v>0</v>
      </c>
      <c r="K7" s="10"/>
      <c r="L7" s="10"/>
      <c r="M7" s="10"/>
      <c r="N7" s="11"/>
      <c r="O7" s="10"/>
      <c r="P7" s="10"/>
      <c r="Q7" s="10"/>
      <c r="R7" s="10"/>
      <c r="S7" s="10"/>
      <c r="T7" s="9"/>
      <c r="U7" s="10"/>
      <c r="V7" s="10"/>
      <c r="W7" s="10"/>
      <c r="X7" s="11"/>
      <c r="Y7" s="12"/>
      <c r="Z7" s="10"/>
      <c r="AA7" s="10"/>
      <c r="AB7" s="10"/>
      <c r="AC7" s="11"/>
      <c r="AD7" s="24">
        <f t="shared" si="1"/>
        <v>0</v>
      </c>
      <c r="AE7" s="22"/>
      <c r="AF7" s="22"/>
      <c r="AG7" s="22"/>
      <c r="AH7" s="23"/>
      <c r="AI7" s="24"/>
      <c r="AJ7" s="22"/>
      <c r="AK7" s="22"/>
      <c r="AL7" s="22"/>
      <c r="AM7" s="23"/>
      <c r="AN7" s="26"/>
      <c r="AO7" s="22"/>
      <c r="AP7" s="22"/>
      <c r="AQ7" s="22"/>
      <c r="AR7" s="23"/>
      <c r="AS7" s="26"/>
      <c r="AT7" s="22"/>
      <c r="AU7" s="22"/>
      <c r="AV7" s="22"/>
      <c r="AW7" s="23"/>
      <c r="AX7" s="26"/>
      <c r="AY7" s="22"/>
      <c r="AZ7" s="22"/>
      <c r="BA7" s="22"/>
      <c r="BB7" s="23"/>
    </row>
    <row r="8" spans="1:54" ht="21" customHeight="1" x14ac:dyDescent="0.35">
      <c r="A8" s="6"/>
      <c r="B8" s="7" t="s">
        <v>33</v>
      </c>
      <c r="C8" s="7" t="s">
        <v>21</v>
      </c>
      <c r="D8" s="14" t="s">
        <v>34</v>
      </c>
      <c r="E8" s="9"/>
      <c r="F8" s="10"/>
      <c r="G8" s="10"/>
      <c r="H8" s="10"/>
      <c r="I8" s="11"/>
      <c r="J8" s="9">
        <f t="shared" si="0"/>
        <v>0</v>
      </c>
      <c r="K8" s="10"/>
      <c r="L8" s="10"/>
      <c r="M8" s="10"/>
      <c r="N8" s="11"/>
      <c r="O8" s="10"/>
      <c r="P8" s="10"/>
      <c r="Q8" s="10"/>
      <c r="R8" s="10"/>
      <c r="S8" s="10"/>
      <c r="T8" s="9"/>
      <c r="U8" s="10"/>
      <c r="V8" s="10"/>
      <c r="W8" s="10"/>
      <c r="X8" s="11"/>
      <c r="Y8" s="12"/>
      <c r="Z8" s="10"/>
      <c r="AA8" s="10"/>
      <c r="AB8" s="10"/>
      <c r="AC8" s="11"/>
      <c r="AD8" s="24">
        <f t="shared" si="1"/>
        <v>0</v>
      </c>
      <c r="AE8" s="22"/>
      <c r="AF8" s="22"/>
      <c r="AG8" s="22"/>
      <c r="AH8" s="23"/>
      <c r="AI8" s="24"/>
      <c r="AJ8" s="22"/>
      <c r="AK8" s="22"/>
      <c r="AL8" s="22"/>
      <c r="AM8" s="23"/>
      <c r="AN8" s="26"/>
      <c r="AO8" s="22"/>
      <c r="AP8" s="22"/>
      <c r="AQ8" s="22"/>
      <c r="AR8" s="23"/>
      <c r="AS8" s="26"/>
      <c r="AT8" s="22"/>
      <c r="AU8" s="22"/>
      <c r="AV8" s="22"/>
      <c r="AW8" s="23"/>
      <c r="AX8" s="26"/>
      <c r="AY8" s="22"/>
      <c r="AZ8" s="22"/>
      <c r="BA8" s="22"/>
      <c r="BB8" s="23"/>
    </row>
    <row r="9" spans="1:54" ht="21" customHeight="1" x14ac:dyDescent="0.35">
      <c r="A9" s="6"/>
      <c r="B9" s="7" t="s">
        <v>35</v>
      </c>
      <c r="C9" s="7" t="s">
        <v>21</v>
      </c>
      <c r="D9" s="14" t="s">
        <v>36</v>
      </c>
      <c r="E9" s="9"/>
      <c r="F9" s="10"/>
      <c r="G9" s="10"/>
      <c r="H9" s="10"/>
      <c r="I9" s="11"/>
      <c r="J9" s="9">
        <f t="shared" si="0"/>
        <v>0</v>
      </c>
      <c r="K9" s="10"/>
      <c r="L9" s="10"/>
      <c r="M9" s="10"/>
      <c r="N9" s="11"/>
      <c r="O9" s="10"/>
      <c r="P9" s="10"/>
      <c r="Q9" s="10"/>
      <c r="R9" s="10"/>
      <c r="S9" s="10"/>
      <c r="T9" s="9"/>
      <c r="U9" s="10"/>
      <c r="V9" s="10"/>
      <c r="W9" s="10"/>
      <c r="X9" s="11"/>
      <c r="Y9" s="12"/>
      <c r="Z9" s="10"/>
      <c r="AA9" s="10"/>
      <c r="AB9" s="10"/>
      <c r="AC9" s="11"/>
      <c r="AD9" s="24">
        <f t="shared" si="1"/>
        <v>0</v>
      </c>
      <c r="AE9" s="22"/>
      <c r="AF9" s="22"/>
      <c r="AG9" s="22"/>
      <c r="AH9" s="23"/>
      <c r="AI9" s="24"/>
      <c r="AJ9" s="22"/>
      <c r="AK9" s="22"/>
      <c r="AL9" s="22"/>
      <c r="AM9" s="23"/>
      <c r="AN9" s="26"/>
      <c r="AO9" s="22"/>
      <c r="AP9" s="22"/>
      <c r="AQ9" s="22"/>
      <c r="AR9" s="23"/>
      <c r="AS9" s="26"/>
      <c r="AT9" s="22"/>
      <c r="AU9" s="22"/>
      <c r="AV9" s="22"/>
      <c r="AW9" s="23"/>
      <c r="AX9" s="26"/>
      <c r="AY9" s="22"/>
      <c r="AZ9" s="22"/>
      <c r="BA9" s="22"/>
      <c r="BB9" s="23"/>
    </row>
    <row r="10" spans="1:54" ht="21" customHeight="1" x14ac:dyDescent="0.35">
      <c r="A10" s="2"/>
      <c r="B10" s="7" t="s">
        <v>37</v>
      </c>
      <c r="C10" s="7" t="s">
        <v>38</v>
      </c>
      <c r="D10" s="8" t="s">
        <v>39</v>
      </c>
      <c r="E10" s="9"/>
      <c r="F10" s="10"/>
      <c r="G10" s="10"/>
      <c r="H10" s="10"/>
      <c r="I10" s="11"/>
      <c r="J10" s="9">
        <f t="shared" si="0"/>
        <v>0</v>
      </c>
      <c r="K10" s="10"/>
      <c r="L10" s="10"/>
      <c r="M10" s="10"/>
      <c r="N10" s="11"/>
      <c r="O10" s="10"/>
      <c r="P10" s="10"/>
      <c r="Q10" s="10"/>
      <c r="R10" s="10"/>
      <c r="S10" s="10"/>
      <c r="T10" s="9"/>
      <c r="U10" s="10"/>
      <c r="V10" s="10"/>
      <c r="W10" s="10"/>
      <c r="X10" s="11"/>
      <c r="Y10" s="12"/>
      <c r="Z10" s="10"/>
      <c r="AA10" s="10"/>
      <c r="AB10" s="10"/>
      <c r="AC10" s="11"/>
      <c r="AD10" s="24">
        <f t="shared" si="1"/>
        <v>0</v>
      </c>
      <c r="AE10" s="22"/>
      <c r="AF10" s="22"/>
      <c r="AG10" s="22"/>
      <c r="AH10" s="23"/>
      <c r="AI10" s="24"/>
      <c r="AJ10" s="22"/>
      <c r="AK10" s="22"/>
      <c r="AL10" s="22"/>
      <c r="AM10" s="23"/>
      <c r="AN10" s="26"/>
      <c r="AO10" s="22"/>
      <c r="AP10" s="22"/>
      <c r="AQ10" s="22"/>
      <c r="AR10" s="23"/>
      <c r="AS10" s="26"/>
      <c r="AT10" s="22"/>
      <c r="AU10" s="22"/>
      <c r="AV10" s="22"/>
      <c r="AW10" s="23"/>
      <c r="AX10" s="26"/>
      <c r="AY10" s="22"/>
      <c r="AZ10" s="22"/>
      <c r="BA10" s="22"/>
      <c r="BB10" s="23"/>
    </row>
    <row r="11" spans="1:54" ht="21" customHeight="1" x14ac:dyDescent="0.35">
      <c r="A11" s="2"/>
      <c r="B11" s="7" t="s">
        <v>40</v>
      </c>
      <c r="C11" s="7" t="s">
        <v>38</v>
      </c>
      <c r="D11" s="8" t="s">
        <v>24</v>
      </c>
      <c r="E11" s="13"/>
      <c r="F11" s="10"/>
      <c r="G11" s="10"/>
      <c r="H11" s="10"/>
      <c r="I11" s="11"/>
      <c r="J11" s="9">
        <f t="shared" si="0"/>
        <v>0</v>
      </c>
      <c r="K11" s="10"/>
      <c r="L11" s="10"/>
      <c r="M11" s="10"/>
      <c r="N11" s="11"/>
      <c r="O11" s="10"/>
      <c r="P11" s="10"/>
      <c r="Q11" s="10"/>
      <c r="R11" s="10"/>
      <c r="S11" s="10"/>
      <c r="T11" s="9"/>
      <c r="U11" s="10"/>
      <c r="V11" s="10"/>
      <c r="W11" s="10"/>
      <c r="X11" s="11"/>
      <c r="Y11" s="12"/>
      <c r="Z11" s="10"/>
      <c r="AA11" s="10"/>
      <c r="AB11" s="10"/>
      <c r="AC11" s="11"/>
      <c r="AD11" s="24">
        <f t="shared" si="1"/>
        <v>0</v>
      </c>
      <c r="AE11" s="22"/>
      <c r="AF11" s="22"/>
      <c r="AG11" s="22"/>
      <c r="AH11" s="23"/>
      <c r="AI11" s="24"/>
      <c r="AJ11" s="22"/>
      <c r="AK11" s="22"/>
      <c r="AL11" s="22"/>
      <c r="AM11" s="23"/>
      <c r="AN11" s="26"/>
      <c r="AO11" s="22"/>
      <c r="AP11" s="22"/>
      <c r="AQ11" s="22"/>
      <c r="AR11" s="23"/>
      <c r="AS11" s="26"/>
      <c r="AT11" s="22"/>
      <c r="AU11" s="22"/>
      <c r="AV11" s="22"/>
      <c r="AW11" s="23"/>
      <c r="AX11" s="26"/>
      <c r="AY11" s="22"/>
      <c r="AZ11" s="22"/>
      <c r="BA11" s="22"/>
      <c r="BB11" s="23"/>
    </row>
    <row r="12" spans="1:54" ht="21" customHeight="1" x14ac:dyDescent="0.35">
      <c r="A12" s="2"/>
      <c r="B12" s="7" t="s">
        <v>41</v>
      </c>
      <c r="C12" s="7" t="s">
        <v>38</v>
      </c>
      <c r="D12" s="8" t="s">
        <v>42</v>
      </c>
      <c r="E12" s="13"/>
      <c r="F12" s="10"/>
      <c r="G12" s="10"/>
      <c r="H12" s="10"/>
      <c r="I12" s="11"/>
      <c r="J12" s="9">
        <f t="shared" si="0"/>
        <v>0</v>
      </c>
      <c r="K12" s="10"/>
      <c r="L12" s="10"/>
      <c r="M12" s="10"/>
      <c r="N12" s="11"/>
      <c r="O12" s="10"/>
      <c r="P12" s="10"/>
      <c r="Q12" s="10"/>
      <c r="R12" s="10"/>
      <c r="S12" s="10"/>
      <c r="T12" s="9"/>
      <c r="U12" s="10"/>
      <c r="V12" s="10"/>
      <c r="W12" s="10"/>
      <c r="X12" s="11"/>
      <c r="Y12" s="12"/>
      <c r="Z12" s="10"/>
      <c r="AA12" s="10"/>
      <c r="AB12" s="10"/>
      <c r="AC12" s="11"/>
      <c r="AD12" s="24">
        <f t="shared" si="1"/>
        <v>0</v>
      </c>
      <c r="AE12" s="22"/>
      <c r="AF12" s="22"/>
      <c r="AG12" s="22"/>
      <c r="AH12" s="23"/>
      <c r="AI12" s="24"/>
      <c r="AJ12" s="22"/>
      <c r="AK12" s="22"/>
      <c r="AL12" s="22"/>
      <c r="AM12" s="23"/>
      <c r="AN12" s="26"/>
      <c r="AO12" s="22"/>
      <c r="AP12" s="22"/>
      <c r="AQ12" s="22"/>
      <c r="AR12" s="23"/>
      <c r="AS12" s="26"/>
      <c r="AT12" s="22"/>
      <c r="AU12" s="22"/>
      <c r="AV12" s="22"/>
      <c r="AW12" s="23"/>
      <c r="AX12" s="26"/>
      <c r="AY12" s="22"/>
      <c r="AZ12" s="22"/>
      <c r="BA12" s="22"/>
      <c r="BB12" s="23"/>
    </row>
    <row r="13" spans="1:54" ht="21" customHeight="1" x14ac:dyDescent="0.35">
      <c r="A13" s="2"/>
      <c r="B13" s="7" t="s">
        <v>43</v>
      </c>
      <c r="C13" s="7" t="s">
        <v>38</v>
      </c>
      <c r="D13" s="8" t="s">
        <v>44</v>
      </c>
      <c r="E13" s="13"/>
      <c r="F13" s="10"/>
      <c r="G13" s="10"/>
      <c r="H13" s="10"/>
      <c r="I13" s="11"/>
      <c r="J13" s="9">
        <f t="shared" si="0"/>
        <v>0</v>
      </c>
      <c r="K13" s="10"/>
      <c r="L13" s="10"/>
      <c r="M13" s="10"/>
      <c r="N13" s="11"/>
      <c r="O13" s="10"/>
      <c r="P13" s="10"/>
      <c r="Q13" s="10"/>
      <c r="R13" s="10"/>
      <c r="S13" s="10"/>
      <c r="T13" s="9"/>
      <c r="U13" s="10"/>
      <c r="V13" s="10"/>
      <c r="W13" s="10"/>
      <c r="X13" s="11"/>
      <c r="Y13" s="12"/>
      <c r="Z13" s="10"/>
      <c r="AA13" s="10"/>
      <c r="AB13" s="10"/>
      <c r="AC13" s="11"/>
      <c r="AD13" s="24">
        <f t="shared" si="1"/>
        <v>0</v>
      </c>
      <c r="AE13" s="22"/>
      <c r="AF13" s="22"/>
      <c r="AG13" s="22"/>
      <c r="AH13" s="23"/>
      <c r="AI13" s="24"/>
      <c r="AJ13" s="22"/>
      <c r="AK13" s="22"/>
      <c r="AL13" s="22"/>
      <c r="AM13" s="23"/>
      <c r="AN13" s="26"/>
      <c r="AO13" s="22"/>
      <c r="AP13" s="22"/>
      <c r="AQ13" s="22"/>
      <c r="AR13" s="23"/>
      <c r="AS13" s="26"/>
      <c r="AT13" s="22"/>
      <c r="AU13" s="22"/>
      <c r="AV13" s="22"/>
      <c r="AW13" s="23"/>
      <c r="AX13" s="26"/>
      <c r="AY13" s="22"/>
      <c r="AZ13" s="22"/>
      <c r="BA13" s="22"/>
      <c r="BB13" s="23"/>
    </row>
    <row r="14" spans="1:54" ht="21" customHeight="1" x14ac:dyDescent="0.35">
      <c r="A14" s="2"/>
      <c r="B14" s="7" t="s">
        <v>45</v>
      </c>
      <c r="C14" s="7" t="s">
        <v>38</v>
      </c>
      <c r="D14" s="14" t="s">
        <v>46</v>
      </c>
      <c r="E14" s="9"/>
      <c r="F14" s="10"/>
      <c r="G14" s="10"/>
      <c r="H14" s="10"/>
      <c r="I14" s="11"/>
      <c r="J14" s="9">
        <f t="shared" si="0"/>
        <v>0</v>
      </c>
      <c r="K14" s="10"/>
      <c r="L14" s="10"/>
      <c r="M14" s="10"/>
      <c r="N14" s="11"/>
      <c r="O14" s="10"/>
      <c r="P14" s="10"/>
      <c r="Q14" s="10"/>
      <c r="R14" s="10"/>
      <c r="S14" s="10"/>
      <c r="T14" s="9"/>
      <c r="U14" s="10"/>
      <c r="V14" s="10"/>
      <c r="W14" s="10"/>
      <c r="X14" s="11"/>
      <c r="Y14" s="12"/>
      <c r="Z14" s="10"/>
      <c r="AA14" s="10"/>
      <c r="AB14" s="10"/>
      <c r="AC14" s="11"/>
      <c r="AD14" s="24">
        <f t="shared" si="1"/>
        <v>0</v>
      </c>
      <c r="AE14" s="22"/>
      <c r="AF14" s="22"/>
      <c r="AG14" s="22"/>
      <c r="AH14" s="23"/>
      <c r="AI14" s="24"/>
      <c r="AJ14" s="22"/>
      <c r="AK14" s="22"/>
      <c r="AL14" s="22"/>
      <c r="AM14" s="23"/>
      <c r="AN14" s="26"/>
      <c r="AO14" s="22"/>
      <c r="AP14" s="22"/>
      <c r="AQ14" s="22"/>
      <c r="AR14" s="23"/>
      <c r="AS14" s="26"/>
      <c r="AT14" s="22"/>
      <c r="AU14" s="22"/>
      <c r="AV14" s="22"/>
      <c r="AW14" s="23"/>
      <c r="AX14" s="26"/>
      <c r="AY14" s="22"/>
      <c r="AZ14" s="22"/>
      <c r="BA14" s="22"/>
      <c r="BB14" s="23"/>
    </row>
    <row r="15" spans="1:54" ht="21" customHeight="1" x14ac:dyDescent="0.35">
      <c r="A15" s="2"/>
      <c r="B15" s="7" t="s">
        <v>47</v>
      </c>
      <c r="C15" s="7" t="s">
        <v>38</v>
      </c>
      <c r="D15" s="14" t="s">
        <v>48</v>
      </c>
      <c r="E15" s="9"/>
      <c r="F15" s="10"/>
      <c r="G15" s="10"/>
      <c r="H15" s="10"/>
      <c r="I15" s="11"/>
      <c r="J15" s="9">
        <f t="shared" si="0"/>
        <v>0</v>
      </c>
      <c r="K15" s="10"/>
      <c r="L15" s="10"/>
      <c r="M15" s="10"/>
      <c r="N15" s="11"/>
      <c r="O15" s="10"/>
      <c r="P15" s="10"/>
      <c r="Q15" s="10"/>
      <c r="R15" s="10"/>
      <c r="S15" s="10"/>
      <c r="T15" s="9"/>
      <c r="U15" s="10"/>
      <c r="V15" s="10"/>
      <c r="W15" s="10"/>
      <c r="X15" s="11"/>
      <c r="Y15" s="12"/>
      <c r="Z15" s="10"/>
      <c r="AA15" s="10"/>
      <c r="AB15" s="10"/>
      <c r="AC15" s="11"/>
      <c r="AD15" s="24">
        <f t="shared" si="1"/>
        <v>0</v>
      </c>
      <c r="AE15" s="22"/>
      <c r="AF15" s="22"/>
      <c r="AG15" s="22"/>
      <c r="AH15" s="23"/>
      <c r="AI15" s="24"/>
      <c r="AJ15" s="22"/>
      <c r="AK15" s="22"/>
      <c r="AL15" s="22"/>
      <c r="AM15" s="23"/>
      <c r="AN15" s="26"/>
      <c r="AO15" s="22"/>
      <c r="AP15" s="22"/>
      <c r="AQ15" s="22"/>
      <c r="AR15" s="23"/>
      <c r="AS15" s="26"/>
      <c r="AT15" s="22"/>
      <c r="AU15" s="22"/>
      <c r="AV15" s="22"/>
      <c r="AW15" s="23"/>
      <c r="AX15" s="26"/>
      <c r="AY15" s="22"/>
      <c r="AZ15" s="22"/>
      <c r="BA15" s="22"/>
      <c r="BB15" s="23"/>
    </row>
    <row r="16" spans="1:54" ht="21" customHeight="1" x14ac:dyDescent="0.35">
      <c r="A16" s="2"/>
      <c r="B16" s="7" t="s">
        <v>49</v>
      </c>
      <c r="C16" s="7" t="s">
        <v>38</v>
      </c>
      <c r="D16" s="14" t="s">
        <v>34</v>
      </c>
      <c r="E16" s="9"/>
      <c r="F16" s="10"/>
      <c r="G16" s="10"/>
      <c r="H16" s="10"/>
      <c r="I16" s="11"/>
      <c r="J16" s="9">
        <f t="shared" si="0"/>
        <v>0</v>
      </c>
      <c r="K16" s="10"/>
      <c r="L16" s="10"/>
      <c r="M16" s="10"/>
      <c r="N16" s="11"/>
      <c r="O16" s="10"/>
      <c r="P16" s="10"/>
      <c r="Q16" s="10"/>
      <c r="R16" s="10"/>
      <c r="S16" s="10"/>
      <c r="T16" s="9"/>
      <c r="U16" s="10"/>
      <c r="V16" s="10"/>
      <c r="W16" s="10"/>
      <c r="X16" s="11"/>
      <c r="Y16" s="12"/>
      <c r="Z16" s="10"/>
      <c r="AA16" s="10"/>
      <c r="AB16" s="10"/>
      <c r="AC16" s="11"/>
      <c r="AD16" s="24">
        <f t="shared" si="1"/>
        <v>0</v>
      </c>
      <c r="AE16" s="22"/>
      <c r="AF16" s="22"/>
      <c r="AG16" s="22"/>
      <c r="AH16" s="23"/>
      <c r="AI16" s="24"/>
      <c r="AJ16" s="22"/>
      <c r="AK16" s="22"/>
      <c r="AL16" s="22"/>
      <c r="AM16" s="23"/>
      <c r="AN16" s="26"/>
      <c r="AO16" s="22"/>
      <c r="AP16" s="22"/>
      <c r="AQ16" s="22"/>
      <c r="AR16" s="23"/>
      <c r="AS16" s="26"/>
      <c r="AT16" s="22"/>
      <c r="AU16" s="22"/>
      <c r="AV16" s="22"/>
      <c r="AW16" s="23"/>
      <c r="AX16" s="26"/>
      <c r="AY16" s="22"/>
      <c r="AZ16" s="22"/>
      <c r="BA16" s="22"/>
      <c r="BB16" s="23"/>
    </row>
    <row r="17" spans="1:54" ht="21" customHeight="1" x14ac:dyDescent="0.35">
      <c r="A17" s="2"/>
      <c r="B17" s="7" t="s">
        <v>50</v>
      </c>
      <c r="C17" s="7" t="s">
        <v>38</v>
      </c>
      <c r="D17" s="14" t="s">
        <v>51</v>
      </c>
      <c r="E17" s="9"/>
      <c r="F17" s="10"/>
      <c r="G17" s="10"/>
      <c r="H17" s="10"/>
      <c r="I17" s="11"/>
      <c r="J17" s="9">
        <f t="shared" si="0"/>
        <v>0</v>
      </c>
      <c r="K17" s="10"/>
      <c r="L17" s="10"/>
      <c r="M17" s="10"/>
      <c r="N17" s="11"/>
      <c r="O17" s="10"/>
      <c r="P17" s="10"/>
      <c r="Q17" s="10"/>
      <c r="R17" s="10"/>
      <c r="S17" s="10"/>
      <c r="T17" s="9"/>
      <c r="U17" s="10"/>
      <c r="V17" s="10"/>
      <c r="W17" s="10"/>
      <c r="X17" s="11"/>
      <c r="Y17" s="12"/>
      <c r="Z17" s="10"/>
      <c r="AA17" s="10"/>
      <c r="AB17" s="10"/>
      <c r="AC17" s="11"/>
      <c r="AD17" s="24">
        <f t="shared" si="1"/>
        <v>0</v>
      </c>
      <c r="AE17" s="22"/>
      <c r="AF17" s="22"/>
      <c r="AG17" s="22"/>
      <c r="AH17" s="23"/>
      <c r="AI17" s="24"/>
      <c r="AJ17" s="22"/>
      <c r="AK17" s="22"/>
      <c r="AL17" s="22"/>
      <c r="AM17" s="23"/>
      <c r="AN17" s="26"/>
      <c r="AO17" s="22"/>
      <c r="AP17" s="22"/>
      <c r="AQ17" s="22"/>
      <c r="AR17" s="23"/>
      <c r="AS17" s="26"/>
      <c r="AT17" s="22"/>
      <c r="AU17" s="22"/>
      <c r="AV17" s="22"/>
      <c r="AW17" s="23"/>
      <c r="AX17" s="26"/>
      <c r="AY17" s="22"/>
      <c r="AZ17" s="22"/>
      <c r="BA17" s="22"/>
      <c r="BB17" s="23"/>
    </row>
    <row r="18" spans="1:54" ht="21" customHeight="1" x14ac:dyDescent="0.35">
      <c r="A18" s="2"/>
      <c r="B18" s="7" t="s">
        <v>52</v>
      </c>
      <c r="C18" s="7" t="s">
        <v>53</v>
      </c>
      <c r="D18" s="8" t="s">
        <v>39</v>
      </c>
      <c r="E18" s="15"/>
      <c r="F18" s="10"/>
      <c r="G18" s="10"/>
      <c r="H18" s="10"/>
      <c r="I18" s="11"/>
      <c r="J18" s="9">
        <f t="shared" ref="J18:J25" si="2">E18*0.0012</f>
        <v>0</v>
      </c>
      <c r="K18" s="10"/>
      <c r="L18" s="10"/>
      <c r="M18" s="10"/>
      <c r="N18" s="11"/>
      <c r="O18" s="10"/>
      <c r="P18" s="10"/>
      <c r="Q18" s="10"/>
      <c r="R18" s="10"/>
      <c r="S18" s="10"/>
      <c r="T18" s="15"/>
      <c r="U18" s="10"/>
      <c r="V18" s="10"/>
      <c r="W18" s="10"/>
      <c r="X18" s="11"/>
      <c r="Y18" s="16"/>
      <c r="Z18" s="10"/>
      <c r="AA18" s="10"/>
      <c r="AB18" s="10"/>
      <c r="AC18" s="11"/>
      <c r="AD18" s="24">
        <f t="shared" si="1"/>
        <v>0</v>
      </c>
      <c r="AE18" s="22"/>
      <c r="AF18" s="22"/>
      <c r="AG18" s="22"/>
      <c r="AH18" s="23"/>
      <c r="AI18" s="25"/>
      <c r="AJ18" s="22"/>
      <c r="AK18" s="22"/>
      <c r="AL18" s="22"/>
      <c r="AM18" s="23"/>
      <c r="AN18" s="21"/>
      <c r="AO18" s="22"/>
      <c r="AP18" s="22"/>
      <c r="AQ18" s="22"/>
      <c r="AR18" s="23"/>
      <c r="AS18" s="21"/>
      <c r="AT18" s="22"/>
      <c r="AU18" s="22"/>
      <c r="AV18" s="22"/>
      <c r="AW18" s="23"/>
      <c r="AX18" s="21"/>
      <c r="AY18" s="22"/>
      <c r="AZ18" s="22"/>
      <c r="BA18" s="22"/>
      <c r="BB18" s="23"/>
    </row>
    <row r="19" spans="1:54" ht="21" customHeight="1" x14ac:dyDescent="0.35">
      <c r="A19" s="2"/>
      <c r="B19" s="7" t="s">
        <v>54</v>
      </c>
      <c r="C19" s="7" t="s">
        <v>53</v>
      </c>
      <c r="D19" s="8" t="s">
        <v>55</v>
      </c>
      <c r="E19" s="17"/>
      <c r="F19" s="10"/>
      <c r="G19" s="10"/>
      <c r="H19" s="10"/>
      <c r="I19" s="11"/>
      <c r="J19" s="9">
        <f t="shared" si="2"/>
        <v>0</v>
      </c>
      <c r="K19" s="10"/>
      <c r="L19" s="10"/>
      <c r="M19" s="10"/>
      <c r="N19" s="11"/>
      <c r="O19" s="10"/>
      <c r="P19" s="10"/>
      <c r="Q19" s="10"/>
      <c r="R19" s="10"/>
      <c r="S19" s="10"/>
      <c r="T19" s="15"/>
      <c r="U19" s="10"/>
      <c r="V19" s="10"/>
      <c r="W19" s="10"/>
      <c r="X19" s="11"/>
      <c r="Y19" s="16"/>
      <c r="Z19" s="10"/>
      <c r="AA19" s="10"/>
      <c r="AB19" s="10"/>
      <c r="AC19" s="11"/>
      <c r="AD19" s="24">
        <f t="shared" si="1"/>
        <v>0</v>
      </c>
      <c r="AE19" s="22"/>
      <c r="AF19" s="22"/>
      <c r="AG19" s="22"/>
      <c r="AH19" s="23"/>
      <c r="AI19" s="25"/>
      <c r="AJ19" s="22"/>
      <c r="AK19" s="22"/>
      <c r="AL19" s="22"/>
      <c r="AM19" s="23"/>
      <c r="AN19" s="21"/>
      <c r="AO19" s="22"/>
      <c r="AP19" s="22"/>
      <c r="AQ19" s="22"/>
      <c r="AR19" s="23"/>
      <c r="AS19" s="21"/>
      <c r="AT19" s="22"/>
      <c r="AU19" s="22"/>
      <c r="AV19" s="22"/>
      <c r="AW19" s="23"/>
      <c r="AX19" s="21"/>
      <c r="AY19" s="22"/>
      <c r="AZ19" s="22"/>
      <c r="BA19" s="22"/>
      <c r="BB19" s="23"/>
    </row>
    <row r="20" spans="1:54" ht="21" customHeight="1" x14ac:dyDescent="0.35">
      <c r="A20" s="2"/>
      <c r="B20" s="7" t="s">
        <v>56</v>
      </c>
      <c r="C20" s="7" t="s">
        <v>53</v>
      </c>
      <c r="D20" s="8" t="s">
        <v>57</v>
      </c>
      <c r="E20" s="17"/>
      <c r="F20" s="10"/>
      <c r="G20" s="10"/>
      <c r="H20" s="10"/>
      <c r="I20" s="11"/>
      <c r="J20" s="9">
        <f t="shared" si="2"/>
        <v>0</v>
      </c>
      <c r="K20" s="10"/>
      <c r="L20" s="10"/>
      <c r="M20" s="10"/>
      <c r="N20" s="11"/>
      <c r="O20" s="10"/>
      <c r="P20" s="10"/>
      <c r="Q20" s="10"/>
      <c r="R20" s="10"/>
      <c r="S20" s="10"/>
      <c r="T20" s="15"/>
      <c r="U20" s="10"/>
      <c r="V20" s="10"/>
      <c r="W20" s="10"/>
      <c r="X20" s="11"/>
      <c r="Y20" s="16"/>
      <c r="Z20" s="10"/>
      <c r="AA20" s="10"/>
      <c r="AB20" s="10"/>
      <c r="AC20" s="11"/>
      <c r="AD20" s="24">
        <f t="shared" si="1"/>
        <v>0</v>
      </c>
      <c r="AE20" s="22"/>
      <c r="AF20" s="22"/>
      <c r="AG20" s="22"/>
      <c r="AH20" s="23"/>
      <c r="AI20" s="25"/>
      <c r="AJ20" s="22"/>
      <c r="AK20" s="22"/>
      <c r="AL20" s="22"/>
      <c r="AM20" s="23"/>
      <c r="AN20" s="21"/>
      <c r="AO20" s="22"/>
      <c r="AP20" s="22"/>
      <c r="AQ20" s="22"/>
      <c r="AR20" s="23"/>
      <c r="AS20" s="21"/>
      <c r="AT20" s="22"/>
      <c r="AU20" s="22"/>
      <c r="AV20" s="22"/>
      <c r="AW20" s="23"/>
      <c r="AX20" s="21"/>
      <c r="AY20" s="22"/>
      <c r="AZ20" s="22"/>
      <c r="BA20" s="22"/>
      <c r="BB20" s="23"/>
    </row>
    <row r="21" spans="1:54" ht="21" customHeight="1" x14ac:dyDescent="0.35">
      <c r="A21" s="2"/>
      <c r="B21" s="7" t="s">
        <v>58</v>
      </c>
      <c r="C21" s="7" t="s">
        <v>53</v>
      </c>
      <c r="D21" s="8" t="s">
        <v>59</v>
      </c>
      <c r="E21" s="17"/>
      <c r="F21" s="10"/>
      <c r="G21" s="10"/>
      <c r="H21" s="10"/>
      <c r="I21" s="11"/>
      <c r="J21" s="9">
        <f t="shared" si="2"/>
        <v>0</v>
      </c>
      <c r="K21" s="10"/>
      <c r="L21" s="10"/>
      <c r="M21" s="10"/>
      <c r="N21" s="11"/>
      <c r="O21" s="10"/>
      <c r="P21" s="10"/>
      <c r="Q21" s="10"/>
      <c r="R21" s="10"/>
      <c r="S21" s="10"/>
      <c r="T21" s="15"/>
      <c r="U21" s="10"/>
      <c r="V21" s="10"/>
      <c r="W21" s="10"/>
      <c r="X21" s="11"/>
      <c r="Y21" s="16"/>
      <c r="Z21" s="10"/>
      <c r="AA21" s="10"/>
      <c r="AB21" s="10"/>
      <c r="AC21" s="11"/>
      <c r="AD21" s="24">
        <f t="shared" si="1"/>
        <v>0</v>
      </c>
      <c r="AE21" s="22"/>
      <c r="AF21" s="22"/>
      <c r="AG21" s="22"/>
      <c r="AH21" s="23"/>
      <c r="AI21" s="25"/>
      <c r="AJ21" s="22"/>
      <c r="AK21" s="22"/>
      <c r="AL21" s="22"/>
      <c r="AM21" s="23"/>
      <c r="AN21" s="21"/>
      <c r="AO21" s="22"/>
      <c r="AP21" s="22"/>
      <c r="AQ21" s="22"/>
      <c r="AR21" s="23"/>
      <c r="AS21" s="21"/>
      <c r="AT21" s="22"/>
      <c r="AU21" s="22"/>
      <c r="AV21" s="22"/>
      <c r="AW21" s="23"/>
      <c r="AX21" s="21"/>
      <c r="AY21" s="22"/>
      <c r="AZ21" s="22"/>
      <c r="BA21" s="22"/>
      <c r="BB21" s="23"/>
    </row>
    <row r="22" spans="1:54" ht="21" customHeight="1" x14ac:dyDescent="0.35">
      <c r="A22" s="2"/>
      <c r="B22" s="7" t="s">
        <v>60</v>
      </c>
      <c r="C22" s="7" t="s">
        <v>53</v>
      </c>
      <c r="D22" s="14" t="s">
        <v>46</v>
      </c>
      <c r="E22" s="15"/>
      <c r="F22" s="10"/>
      <c r="G22" s="10"/>
      <c r="H22" s="10"/>
      <c r="I22" s="11"/>
      <c r="J22" s="9">
        <f t="shared" si="2"/>
        <v>0</v>
      </c>
      <c r="K22" s="10"/>
      <c r="L22" s="10"/>
      <c r="M22" s="10"/>
      <c r="N22" s="11"/>
      <c r="O22" s="10"/>
      <c r="P22" s="10"/>
      <c r="Q22" s="10"/>
      <c r="R22" s="10"/>
      <c r="S22" s="10"/>
      <c r="T22" s="15"/>
      <c r="U22" s="10"/>
      <c r="V22" s="10"/>
      <c r="W22" s="10"/>
      <c r="X22" s="11"/>
      <c r="Y22" s="16"/>
      <c r="Z22" s="10"/>
      <c r="AA22" s="10"/>
      <c r="AB22" s="10"/>
      <c r="AC22" s="11"/>
      <c r="AD22" s="24">
        <f t="shared" si="1"/>
        <v>0</v>
      </c>
      <c r="AE22" s="22"/>
      <c r="AF22" s="22"/>
      <c r="AG22" s="22"/>
      <c r="AH22" s="23"/>
      <c r="AI22" s="25"/>
      <c r="AJ22" s="22"/>
      <c r="AK22" s="22"/>
      <c r="AL22" s="22"/>
      <c r="AM22" s="23"/>
      <c r="AN22" s="21"/>
      <c r="AO22" s="22"/>
      <c r="AP22" s="22"/>
      <c r="AQ22" s="22"/>
      <c r="AR22" s="23"/>
      <c r="AS22" s="21"/>
      <c r="AT22" s="22"/>
      <c r="AU22" s="22"/>
      <c r="AV22" s="22"/>
      <c r="AW22" s="23"/>
      <c r="AX22" s="21"/>
      <c r="AY22" s="22"/>
      <c r="AZ22" s="22"/>
      <c r="BA22" s="22"/>
      <c r="BB22" s="23"/>
    </row>
    <row r="23" spans="1:54" ht="21" customHeight="1" x14ac:dyDescent="0.35">
      <c r="A23" s="2"/>
      <c r="B23" s="7" t="s">
        <v>61</v>
      </c>
      <c r="C23" s="7" t="s">
        <v>53</v>
      </c>
      <c r="D23" s="14" t="s">
        <v>48</v>
      </c>
      <c r="E23" s="15"/>
      <c r="F23" s="10"/>
      <c r="G23" s="10"/>
      <c r="H23" s="10"/>
      <c r="I23" s="11"/>
      <c r="J23" s="9">
        <f t="shared" si="2"/>
        <v>0</v>
      </c>
      <c r="K23" s="10"/>
      <c r="L23" s="10"/>
      <c r="M23" s="10"/>
      <c r="N23" s="11"/>
      <c r="O23" s="10"/>
      <c r="P23" s="10"/>
      <c r="Q23" s="10"/>
      <c r="R23" s="10"/>
      <c r="S23" s="10"/>
      <c r="T23" s="15"/>
      <c r="U23" s="10"/>
      <c r="V23" s="10"/>
      <c r="W23" s="10"/>
      <c r="X23" s="11"/>
      <c r="Y23" s="16"/>
      <c r="Z23" s="10"/>
      <c r="AA23" s="10"/>
      <c r="AB23" s="10"/>
      <c r="AC23" s="11"/>
      <c r="AD23" s="24">
        <f t="shared" si="1"/>
        <v>0</v>
      </c>
      <c r="AE23" s="22"/>
      <c r="AF23" s="22"/>
      <c r="AG23" s="22"/>
      <c r="AH23" s="23"/>
      <c r="AI23" s="25"/>
      <c r="AJ23" s="22"/>
      <c r="AK23" s="22"/>
      <c r="AL23" s="22"/>
      <c r="AM23" s="23"/>
      <c r="AN23" s="21"/>
      <c r="AO23" s="22"/>
      <c r="AP23" s="22"/>
      <c r="AQ23" s="22"/>
      <c r="AR23" s="23"/>
      <c r="AS23" s="21"/>
      <c r="AT23" s="22"/>
      <c r="AU23" s="22"/>
      <c r="AV23" s="22"/>
      <c r="AW23" s="23"/>
      <c r="AX23" s="21"/>
      <c r="AY23" s="22"/>
      <c r="AZ23" s="22"/>
      <c r="BA23" s="22"/>
      <c r="BB23" s="23"/>
    </row>
    <row r="24" spans="1:54" ht="21" customHeight="1" x14ac:dyDescent="0.35">
      <c r="A24" s="2"/>
      <c r="B24" s="7" t="s">
        <v>62</v>
      </c>
      <c r="C24" s="7" t="s">
        <v>53</v>
      </c>
      <c r="D24" s="14" t="s">
        <v>63</v>
      </c>
      <c r="E24" s="15"/>
      <c r="F24" s="10"/>
      <c r="G24" s="10"/>
      <c r="H24" s="10"/>
      <c r="I24" s="11"/>
      <c r="J24" s="9">
        <f t="shared" si="2"/>
        <v>0</v>
      </c>
      <c r="K24" s="10"/>
      <c r="L24" s="10"/>
      <c r="M24" s="10"/>
      <c r="N24" s="11"/>
      <c r="O24" s="10"/>
      <c r="P24" s="10"/>
      <c r="Q24" s="10"/>
      <c r="R24" s="10"/>
      <c r="S24" s="10"/>
      <c r="T24" s="15"/>
      <c r="U24" s="10"/>
      <c r="V24" s="10"/>
      <c r="W24" s="10"/>
      <c r="X24" s="11"/>
      <c r="Y24" s="16"/>
      <c r="Z24" s="10"/>
      <c r="AA24" s="10"/>
      <c r="AB24" s="10"/>
      <c r="AC24" s="11"/>
      <c r="AD24" s="24">
        <f t="shared" si="1"/>
        <v>0</v>
      </c>
      <c r="AE24" s="22"/>
      <c r="AF24" s="22"/>
      <c r="AG24" s="22"/>
      <c r="AH24" s="23"/>
      <c r="AI24" s="25"/>
      <c r="AJ24" s="22"/>
      <c r="AK24" s="22"/>
      <c r="AL24" s="22"/>
      <c r="AM24" s="23"/>
      <c r="AN24" s="21"/>
      <c r="AO24" s="22"/>
      <c r="AP24" s="22"/>
      <c r="AQ24" s="22"/>
      <c r="AR24" s="23"/>
      <c r="AS24" s="21"/>
      <c r="AT24" s="22"/>
      <c r="AU24" s="22"/>
      <c r="AV24" s="22"/>
      <c r="AW24" s="23"/>
      <c r="AX24" s="21"/>
      <c r="AY24" s="22"/>
      <c r="AZ24" s="22"/>
      <c r="BA24" s="22"/>
      <c r="BB24" s="23"/>
    </row>
    <row r="25" spans="1:54" ht="21" customHeight="1" x14ac:dyDescent="0.35">
      <c r="A25" s="2"/>
      <c r="B25" s="7" t="s">
        <v>64</v>
      </c>
      <c r="C25" s="7" t="s">
        <v>53</v>
      </c>
      <c r="D25" s="14" t="s">
        <v>51</v>
      </c>
      <c r="E25" s="15"/>
      <c r="F25" s="10"/>
      <c r="G25" s="10"/>
      <c r="H25" s="10"/>
      <c r="I25" s="11"/>
      <c r="J25" s="9">
        <f t="shared" si="2"/>
        <v>0</v>
      </c>
      <c r="K25" s="10"/>
      <c r="L25" s="10"/>
      <c r="M25" s="10"/>
      <c r="N25" s="11"/>
      <c r="O25" s="10"/>
      <c r="P25" s="10"/>
      <c r="Q25" s="10"/>
      <c r="R25" s="10"/>
      <c r="S25" s="10"/>
      <c r="T25" s="15"/>
      <c r="U25" s="10"/>
      <c r="V25" s="10"/>
      <c r="W25" s="10"/>
      <c r="X25" s="11"/>
      <c r="Y25" s="16"/>
      <c r="Z25" s="10"/>
      <c r="AA25" s="10"/>
      <c r="AB25" s="10"/>
      <c r="AC25" s="11"/>
      <c r="AD25" s="24">
        <f t="shared" si="1"/>
        <v>0</v>
      </c>
      <c r="AE25" s="22"/>
      <c r="AF25" s="22"/>
      <c r="AG25" s="22"/>
      <c r="AH25" s="23"/>
      <c r="AI25" s="25"/>
      <c r="AJ25" s="22"/>
      <c r="AK25" s="22"/>
      <c r="AL25" s="22"/>
      <c r="AM25" s="23"/>
      <c r="AN25" s="21"/>
      <c r="AO25" s="22"/>
      <c r="AP25" s="22"/>
      <c r="AQ25" s="22"/>
      <c r="AR25" s="23"/>
      <c r="AS25" s="21"/>
      <c r="AT25" s="22"/>
      <c r="AU25" s="22"/>
      <c r="AV25" s="22"/>
      <c r="AW25" s="23"/>
      <c r="AX25" s="21"/>
      <c r="AY25" s="22"/>
      <c r="AZ25" s="22"/>
      <c r="BA25" s="22"/>
      <c r="BB25" s="23"/>
    </row>
    <row r="26" spans="1:54" ht="21" customHeight="1" x14ac:dyDescent="0.35">
      <c r="A26" s="2"/>
      <c r="B26" s="7" t="s">
        <v>65</v>
      </c>
      <c r="C26" s="7" t="s">
        <v>66</v>
      </c>
      <c r="D26" s="8" t="s">
        <v>67</v>
      </c>
      <c r="E26" s="15">
        <v>291</v>
      </c>
      <c r="F26" s="10"/>
      <c r="G26" s="10"/>
      <c r="H26" s="10"/>
      <c r="I26" s="11"/>
      <c r="J26" s="9">
        <f t="shared" ref="J26:J39" si="3">E26*0.00125</f>
        <v>0.36375000000000002</v>
      </c>
      <c r="K26" s="10"/>
      <c r="L26" s="10"/>
      <c r="M26" s="10"/>
      <c r="N26" s="11"/>
      <c r="O26" s="10"/>
      <c r="P26" s="10"/>
      <c r="Q26" s="10"/>
      <c r="R26" s="10"/>
      <c r="S26" s="10"/>
      <c r="T26" s="15">
        <v>725</v>
      </c>
      <c r="U26" s="10"/>
      <c r="V26" s="10"/>
      <c r="W26" s="10"/>
      <c r="X26" s="11"/>
      <c r="Y26" s="16"/>
      <c r="Z26" s="10"/>
      <c r="AA26" s="10"/>
      <c r="AB26" s="10"/>
      <c r="AC26" s="11"/>
      <c r="AD26" s="24">
        <f t="shared" si="1"/>
        <v>0</v>
      </c>
      <c r="AE26" s="22"/>
      <c r="AF26" s="22"/>
      <c r="AG26" s="22"/>
      <c r="AH26" s="23"/>
      <c r="AI26" s="25"/>
      <c r="AJ26" s="22"/>
      <c r="AK26" s="22"/>
      <c r="AL26" s="22"/>
      <c r="AM26" s="23"/>
      <c r="AN26" s="21"/>
      <c r="AO26" s="22"/>
      <c r="AP26" s="22"/>
      <c r="AQ26" s="22"/>
      <c r="AR26" s="23"/>
      <c r="AS26" s="21"/>
      <c r="AT26" s="22"/>
      <c r="AU26" s="22"/>
      <c r="AV26" s="22"/>
      <c r="AW26" s="23"/>
      <c r="AX26" s="30" t="s">
        <v>134</v>
      </c>
      <c r="AY26" s="22"/>
      <c r="AZ26" s="22"/>
      <c r="BA26" s="22"/>
      <c r="BB26" s="23"/>
    </row>
    <row r="27" spans="1:54" ht="21" customHeight="1" x14ac:dyDescent="0.35">
      <c r="A27" s="2"/>
      <c r="B27" s="7" t="s">
        <v>68</v>
      </c>
      <c r="C27" s="7" t="s">
        <v>66</v>
      </c>
      <c r="D27" s="8" t="s">
        <v>69</v>
      </c>
      <c r="E27" s="17">
        <v>286</v>
      </c>
      <c r="F27" s="10"/>
      <c r="G27" s="10"/>
      <c r="H27" s="10"/>
      <c r="I27" s="11"/>
      <c r="J27" s="9">
        <f t="shared" si="3"/>
        <v>0.35749999999999998</v>
      </c>
      <c r="K27" s="10"/>
      <c r="L27" s="10"/>
      <c r="M27" s="10"/>
      <c r="N27" s="11"/>
      <c r="O27" s="10"/>
      <c r="P27" s="10"/>
      <c r="Q27" s="10"/>
      <c r="R27" s="10"/>
      <c r="S27" s="10"/>
      <c r="T27" s="15">
        <v>825</v>
      </c>
      <c r="U27" s="10"/>
      <c r="V27" s="10"/>
      <c r="W27" s="10"/>
      <c r="X27" s="11"/>
      <c r="Y27" s="16"/>
      <c r="Z27" s="10"/>
      <c r="AA27" s="10"/>
      <c r="AB27" s="10"/>
      <c r="AC27" s="11"/>
      <c r="AD27" s="24">
        <f t="shared" si="1"/>
        <v>0</v>
      </c>
      <c r="AE27" s="22"/>
      <c r="AF27" s="22"/>
      <c r="AG27" s="22"/>
      <c r="AH27" s="23"/>
      <c r="AI27" s="25"/>
      <c r="AJ27" s="22"/>
      <c r="AK27" s="22"/>
      <c r="AL27" s="22"/>
      <c r="AM27" s="23"/>
      <c r="AN27" s="21"/>
      <c r="AO27" s="22"/>
      <c r="AP27" s="22"/>
      <c r="AQ27" s="22"/>
      <c r="AR27" s="23"/>
      <c r="AS27" s="21"/>
      <c r="AT27" s="22"/>
      <c r="AU27" s="22"/>
      <c r="AV27" s="22"/>
      <c r="AW27" s="23"/>
      <c r="AX27" s="21"/>
      <c r="AY27" s="22"/>
      <c r="AZ27" s="22"/>
      <c r="BA27" s="22"/>
      <c r="BB27" s="23"/>
    </row>
    <row r="28" spans="1:54" ht="21" customHeight="1" x14ac:dyDescent="0.35">
      <c r="A28" s="2"/>
      <c r="B28" s="7" t="s">
        <v>70</v>
      </c>
      <c r="C28" s="7" t="s">
        <v>66</v>
      </c>
      <c r="D28" s="8" t="s">
        <v>71</v>
      </c>
      <c r="E28" s="17">
        <v>281</v>
      </c>
      <c r="F28" s="10"/>
      <c r="G28" s="10"/>
      <c r="H28" s="10"/>
      <c r="I28" s="11"/>
      <c r="J28" s="9">
        <f t="shared" si="3"/>
        <v>0.35125000000000001</v>
      </c>
      <c r="K28" s="10"/>
      <c r="L28" s="10"/>
      <c r="M28" s="10"/>
      <c r="N28" s="11"/>
      <c r="O28" s="10"/>
      <c r="P28" s="10"/>
      <c r="Q28" s="10"/>
      <c r="R28" s="10"/>
      <c r="S28" s="10"/>
      <c r="T28" s="15">
        <v>830</v>
      </c>
      <c r="U28" s="10"/>
      <c r="V28" s="10"/>
      <c r="W28" s="10"/>
      <c r="X28" s="11"/>
      <c r="Y28" s="16"/>
      <c r="Z28" s="10"/>
      <c r="AA28" s="10"/>
      <c r="AB28" s="10"/>
      <c r="AC28" s="11"/>
      <c r="AD28" s="24">
        <f t="shared" si="1"/>
        <v>0</v>
      </c>
      <c r="AE28" s="22"/>
      <c r="AF28" s="22"/>
      <c r="AG28" s="22"/>
      <c r="AH28" s="23"/>
      <c r="AI28" s="25"/>
      <c r="AJ28" s="22"/>
      <c r="AK28" s="22"/>
      <c r="AL28" s="22"/>
      <c r="AM28" s="23"/>
      <c r="AN28" s="21"/>
      <c r="AO28" s="22"/>
      <c r="AP28" s="22"/>
      <c r="AQ28" s="22"/>
      <c r="AR28" s="23"/>
      <c r="AS28" s="21"/>
      <c r="AT28" s="22"/>
      <c r="AU28" s="22"/>
      <c r="AV28" s="22"/>
      <c r="AW28" s="23"/>
      <c r="AX28" s="21"/>
      <c r="AY28" s="22"/>
      <c r="AZ28" s="22"/>
      <c r="BA28" s="22"/>
      <c r="BB28" s="23"/>
    </row>
    <row r="29" spans="1:54" ht="21" customHeight="1" x14ac:dyDescent="0.35">
      <c r="A29" s="2"/>
      <c r="B29" s="7" t="s">
        <v>72</v>
      </c>
      <c r="C29" s="7" t="s">
        <v>66</v>
      </c>
      <c r="D29" s="8" t="s">
        <v>73</v>
      </c>
      <c r="E29" s="17">
        <v>273</v>
      </c>
      <c r="F29" s="10"/>
      <c r="G29" s="10"/>
      <c r="H29" s="10"/>
      <c r="I29" s="11"/>
      <c r="J29" s="9">
        <f t="shared" si="3"/>
        <v>0.34125</v>
      </c>
      <c r="K29" s="10"/>
      <c r="L29" s="10"/>
      <c r="M29" s="10"/>
      <c r="N29" s="11"/>
      <c r="O29" s="10"/>
      <c r="P29" s="10"/>
      <c r="Q29" s="10"/>
      <c r="R29" s="10"/>
      <c r="S29" s="10"/>
      <c r="T29" s="15">
        <v>842</v>
      </c>
      <c r="U29" s="10"/>
      <c r="V29" s="10"/>
      <c r="W29" s="10"/>
      <c r="X29" s="11"/>
      <c r="Y29" s="16"/>
      <c r="Z29" s="10"/>
      <c r="AA29" s="10"/>
      <c r="AB29" s="10"/>
      <c r="AC29" s="11"/>
      <c r="AD29" s="24">
        <f t="shared" si="1"/>
        <v>0</v>
      </c>
      <c r="AE29" s="22"/>
      <c r="AF29" s="22"/>
      <c r="AG29" s="22"/>
      <c r="AH29" s="23"/>
      <c r="AI29" s="25"/>
      <c r="AJ29" s="22"/>
      <c r="AK29" s="22"/>
      <c r="AL29" s="22"/>
      <c r="AM29" s="23"/>
      <c r="AN29" s="21"/>
      <c r="AO29" s="22"/>
      <c r="AP29" s="22"/>
      <c r="AQ29" s="22"/>
      <c r="AR29" s="23"/>
      <c r="AS29" s="21"/>
      <c r="AT29" s="22"/>
      <c r="AU29" s="22"/>
      <c r="AV29" s="22"/>
      <c r="AW29" s="23"/>
      <c r="AX29" s="21"/>
      <c r="AY29" s="22"/>
      <c r="AZ29" s="22"/>
      <c r="BA29" s="22"/>
      <c r="BB29" s="23"/>
    </row>
    <row r="30" spans="1:54" ht="21" customHeight="1" x14ac:dyDescent="0.35">
      <c r="A30" s="2"/>
      <c r="B30" s="7" t="s">
        <v>74</v>
      </c>
      <c r="C30" s="7" t="s">
        <v>66</v>
      </c>
      <c r="D30" s="14" t="s">
        <v>46</v>
      </c>
      <c r="E30" s="15">
        <v>309</v>
      </c>
      <c r="F30" s="10"/>
      <c r="G30" s="10"/>
      <c r="H30" s="10"/>
      <c r="I30" s="11"/>
      <c r="J30" s="9">
        <f t="shared" si="3"/>
        <v>0.38624999999999998</v>
      </c>
      <c r="K30" s="10"/>
      <c r="L30" s="10"/>
      <c r="M30" s="10"/>
      <c r="N30" s="11"/>
      <c r="O30" s="10"/>
      <c r="P30" s="10"/>
      <c r="Q30" s="10"/>
      <c r="R30" s="10"/>
      <c r="S30" s="10"/>
      <c r="T30" s="15">
        <v>1053</v>
      </c>
      <c r="U30" s="10"/>
      <c r="V30" s="10"/>
      <c r="W30" s="10"/>
      <c r="X30" s="11"/>
      <c r="Y30" s="16"/>
      <c r="Z30" s="10"/>
      <c r="AA30" s="10"/>
      <c r="AB30" s="10"/>
      <c r="AC30" s="11"/>
      <c r="AD30" s="24">
        <f t="shared" si="1"/>
        <v>0</v>
      </c>
      <c r="AE30" s="22"/>
      <c r="AF30" s="22"/>
      <c r="AG30" s="22"/>
      <c r="AH30" s="23"/>
      <c r="AI30" s="25"/>
      <c r="AJ30" s="22"/>
      <c r="AK30" s="22"/>
      <c r="AL30" s="22"/>
      <c r="AM30" s="23"/>
      <c r="AN30" s="21"/>
      <c r="AO30" s="22"/>
      <c r="AP30" s="22"/>
      <c r="AQ30" s="22"/>
      <c r="AR30" s="23"/>
      <c r="AS30" s="21"/>
      <c r="AT30" s="22"/>
      <c r="AU30" s="22"/>
      <c r="AV30" s="22"/>
      <c r="AW30" s="23"/>
      <c r="AX30" s="21"/>
      <c r="AY30" s="22"/>
      <c r="AZ30" s="22"/>
      <c r="BA30" s="22"/>
      <c r="BB30" s="23"/>
    </row>
    <row r="31" spans="1:54" ht="21" customHeight="1" x14ac:dyDescent="0.35">
      <c r="A31" s="2"/>
      <c r="B31" s="7" t="s">
        <v>75</v>
      </c>
      <c r="C31" s="7" t="s">
        <v>66</v>
      </c>
      <c r="D31" s="14" t="s">
        <v>48</v>
      </c>
      <c r="E31" s="15">
        <v>288</v>
      </c>
      <c r="F31" s="10"/>
      <c r="G31" s="10"/>
      <c r="H31" s="10"/>
      <c r="I31" s="11"/>
      <c r="J31" s="9">
        <f t="shared" si="3"/>
        <v>0.36</v>
      </c>
      <c r="K31" s="10"/>
      <c r="L31" s="10"/>
      <c r="M31" s="10"/>
      <c r="N31" s="11"/>
      <c r="O31" s="10"/>
      <c r="P31" s="10"/>
      <c r="Q31" s="10"/>
      <c r="R31" s="10"/>
      <c r="S31" s="10"/>
      <c r="T31" s="15">
        <v>1112</v>
      </c>
      <c r="U31" s="10"/>
      <c r="V31" s="10"/>
      <c r="W31" s="10"/>
      <c r="X31" s="11"/>
      <c r="Y31" s="16"/>
      <c r="Z31" s="10"/>
      <c r="AA31" s="10"/>
      <c r="AB31" s="10"/>
      <c r="AC31" s="11"/>
      <c r="AD31" s="24">
        <f t="shared" si="1"/>
        <v>0</v>
      </c>
      <c r="AE31" s="22"/>
      <c r="AF31" s="22"/>
      <c r="AG31" s="22"/>
      <c r="AH31" s="23"/>
      <c r="AI31" s="25"/>
      <c r="AJ31" s="22"/>
      <c r="AK31" s="22"/>
      <c r="AL31" s="22"/>
      <c r="AM31" s="23"/>
      <c r="AN31" s="21"/>
      <c r="AO31" s="22"/>
      <c r="AP31" s="22"/>
      <c r="AQ31" s="22"/>
      <c r="AR31" s="23"/>
      <c r="AS31" s="21"/>
      <c r="AT31" s="22"/>
      <c r="AU31" s="22"/>
      <c r="AV31" s="22"/>
      <c r="AW31" s="23"/>
      <c r="AX31" s="21"/>
      <c r="AY31" s="22"/>
      <c r="AZ31" s="22"/>
      <c r="BA31" s="22"/>
      <c r="BB31" s="23"/>
    </row>
    <row r="32" spans="1:54" ht="21" customHeight="1" x14ac:dyDescent="0.35">
      <c r="A32" s="2"/>
      <c r="B32" s="7" t="s">
        <v>76</v>
      </c>
      <c r="C32" s="7" t="s">
        <v>66</v>
      </c>
      <c r="D32" s="14" t="s">
        <v>36</v>
      </c>
      <c r="E32" s="15">
        <v>302</v>
      </c>
      <c r="F32" s="10"/>
      <c r="G32" s="10"/>
      <c r="H32" s="10"/>
      <c r="I32" s="11"/>
      <c r="J32" s="9">
        <f t="shared" si="3"/>
        <v>0.3775</v>
      </c>
      <c r="K32" s="10"/>
      <c r="L32" s="10"/>
      <c r="M32" s="10"/>
      <c r="N32" s="11"/>
      <c r="O32" s="10"/>
      <c r="P32" s="10"/>
      <c r="Q32" s="10"/>
      <c r="R32" s="10"/>
      <c r="S32" s="10"/>
      <c r="T32" s="15">
        <v>1120</v>
      </c>
      <c r="U32" s="10"/>
      <c r="V32" s="10"/>
      <c r="W32" s="10"/>
      <c r="X32" s="11"/>
      <c r="Y32" s="16"/>
      <c r="Z32" s="10"/>
      <c r="AA32" s="10"/>
      <c r="AB32" s="10"/>
      <c r="AC32" s="11"/>
      <c r="AD32" s="24">
        <f t="shared" si="1"/>
        <v>0</v>
      </c>
      <c r="AE32" s="22"/>
      <c r="AF32" s="22"/>
      <c r="AG32" s="22"/>
      <c r="AH32" s="23"/>
      <c r="AI32" s="25"/>
      <c r="AJ32" s="22"/>
      <c r="AK32" s="22"/>
      <c r="AL32" s="22"/>
      <c r="AM32" s="23"/>
      <c r="AN32" s="21"/>
      <c r="AO32" s="22"/>
      <c r="AP32" s="22"/>
      <c r="AQ32" s="22"/>
      <c r="AR32" s="23"/>
      <c r="AS32" s="21"/>
      <c r="AT32" s="22"/>
      <c r="AU32" s="22"/>
      <c r="AV32" s="22"/>
      <c r="AW32" s="23"/>
      <c r="AX32" s="21"/>
      <c r="AY32" s="22"/>
      <c r="AZ32" s="22"/>
      <c r="BA32" s="22"/>
      <c r="BB32" s="23"/>
    </row>
    <row r="33" spans="1:189" ht="21" customHeight="1" x14ac:dyDescent="0.35">
      <c r="A33" s="2"/>
      <c r="B33" s="7" t="s">
        <v>77</v>
      </c>
      <c r="C33" s="7" t="s">
        <v>78</v>
      </c>
      <c r="D33" s="8" t="s">
        <v>79</v>
      </c>
      <c r="E33" s="15"/>
      <c r="F33" s="10"/>
      <c r="G33" s="10"/>
      <c r="H33" s="10"/>
      <c r="I33" s="11"/>
      <c r="J33" s="9">
        <f t="shared" si="3"/>
        <v>0</v>
      </c>
      <c r="K33" s="10"/>
      <c r="L33" s="10"/>
      <c r="M33" s="10"/>
      <c r="N33" s="11"/>
      <c r="O33" s="10"/>
      <c r="P33" s="10"/>
      <c r="Q33" s="10"/>
      <c r="R33" s="10"/>
      <c r="S33" s="10"/>
      <c r="T33" s="15"/>
      <c r="U33" s="10"/>
      <c r="V33" s="10"/>
      <c r="W33" s="10"/>
      <c r="X33" s="11"/>
      <c r="Y33" s="16"/>
      <c r="Z33" s="10"/>
      <c r="AA33" s="10"/>
      <c r="AB33" s="10"/>
      <c r="AC33" s="11"/>
      <c r="AD33" s="24">
        <f t="shared" si="1"/>
        <v>0</v>
      </c>
      <c r="AE33" s="22"/>
      <c r="AF33" s="22"/>
      <c r="AG33" s="22"/>
      <c r="AH33" s="23"/>
      <c r="AI33" s="25"/>
      <c r="AJ33" s="22"/>
      <c r="AK33" s="22"/>
      <c r="AL33" s="22"/>
      <c r="AM33" s="23"/>
      <c r="AN33" s="21"/>
      <c r="AO33" s="22"/>
      <c r="AP33" s="22"/>
      <c r="AQ33" s="22"/>
      <c r="AR33" s="23"/>
      <c r="AS33" s="21"/>
      <c r="AT33" s="22"/>
      <c r="AU33" s="22"/>
      <c r="AV33" s="22"/>
      <c r="AW33" s="23"/>
      <c r="AX33" s="21"/>
      <c r="AY33" s="22"/>
      <c r="AZ33" s="22"/>
      <c r="BA33" s="22"/>
      <c r="BB33" s="23"/>
    </row>
    <row r="34" spans="1:189" ht="21" customHeight="1" x14ac:dyDescent="0.35">
      <c r="A34" s="2"/>
      <c r="B34" s="7" t="s">
        <v>80</v>
      </c>
      <c r="C34" s="7" t="s">
        <v>78</v>
      </c>
      <c r="D34" s="8" t="s">
        <v>81</v>
      </c>
      <c r="E34" s="17"/>
      <c r="F34" s="10"/>
      <c r="G34" s="10"/>
      <c r="H34" s="10"/>
      <c r="I34" s="11"/>
      <c r="J34" s="9">
        <f t="shared" si="3"/>
        <v>0</v>
      </c>
      <c r="K34" s="10"/>
      <c r="L34" s="10"/>
      <c r="M34" s="10"/>
      <c r="N34" s="11"/>
      <c r="O34" s="10"/>
      <c r="P34" s="10"/>
      <c r="Q34" s="10"/>
      <c r="R34" s="10"/>
      <c r="S34" s="10"/>
      <c r="T34" s="15"/>
      <c r="U34" s="10"/>
      <c r="V34" s="10"/>
      <c r="W34" s="10"/>
      <c r="X34" s="11"/>
      <c r="Y34" s="16"/>
      <c r="Z34" s="10"/>
      <c r="AA34" s="10"/>
      <c r="AB34" s="10"/>
      <c r="AC34" s="11"/>
      <c r="AD34" s="24">
        <f t="shared" si="1"/>
        <v>0</v>
      </c>
      <c r="AE34" s="22"/>
      <c r="AF34" s="22"/>
      <c r="AG34" s="22"/>
      <c r="AH34" s="23"/>
      <c r="AI34" s="25"/>
      <c r="AJ34" s="22"/>
      <c r="AK34" s="22"/>
      <c r="AL34" s="22"/>
      <c r="AM34" s="23"/>
      <c r="AN34" s="21"/>
      <c r="AO34" s="22"/>
      <c r="AP34" s="22"/>
      <c r="AQ34" s="22"/>
      <c r="AR34" s="23"/>
      <c r="AS34" s="21"/>
      <c r="AT34" s="22"/>
      <c r="AU34" s="22"/>
      <c r="AV34" s="22"/>
      <c r="AW34" s="23"/>
      <c r="AX34" s="21"/>
      <c r="AY34" s="22"/>
      <c r="AZ34" s="22"/>
      <c r="BA34" s="22"/>
      <c r="BB34" s="23"/>
    </row>
    <row r="35" spans="1:189" ht="21" customHeight="1" x14ac:dyDescent="0.35">
      <c r="A35" s="2"/>
      <c r="B35" s="7" t="s">
        <v>82</v>
      </c>
      <c r="C35" s="7" t="s">
        <v>78</v>
      </c>
      <c r="D35" s="8" t="s">
        <v>71</v>
      </c>
      <c r="E35" s="17"/>
      <c r="F35" s="10"/>
      <c r="G35" s="10"/>
      <c r="H35" s="10"/>
      <c r="I35" s="11"/>
      <c r="J35" s="9">
        <f t="shared" si="3"/>
        <v>0</v>
      </c>
      <c r="K35" s="10"/>
      <c r="L35" s="10"/>
      <c r="M35" s="10"/>
      <c r="N35" s="11"/>
      <c r="O35" s="10"/>
      <c r="P35" s="10"/>
      <c r="Q35" s="10"/>
      <c r="R35" s="10"/>
      <c r="S35" s="10"/>
      <c r="T35" s="15"/>
      <c r="U35" s="10"/>
      <c r="V35" s="10"/>
      <c r="W35" s="10"/>
      <c r="X35" s="11"/>
      <c r="Y35" s="16"/>
      <c r="Z35" s="10"/>
      <c r="AA35" s="10"/>
      <c r="AB35" s="10"/>
      <c r="AC35" s="11"/>
      <c r="AD35" s="24">
        <f t="shared" si="1"/>
        <v>0</v>
      </c>
      <c r="AE35" s="22"/>
      <c r="AF35" s="22"/>
      <c r="AG35" s="22"/>
      <c r="AH35" s="23"/>
      <c r="AI35" s="25"/>
      <c r="AJ35" s="22"/>
      <c r="AK35" s="22"/>
      <c r="AL35" s="22"/>
      <c r="AM35" s="23"/>
      <c r="AN35" s="21"/>
      <c r="AO35" s="22"/>
      <c r="AP35" s="22"/>
      <c r="AQ35" s="22"/>
      <c r="AR35" s="23"/>
      <c r="AS35" s="21"/>
      <c r="AT35" s="22"/>
      <c r="AU35" s="22"/>
      <c r="AV35" s="22"/>
      <c r="AW35" s="23"/>
      <c r="AX35" s="21"/>
      <c r="AY35" s="22"/>
      <c r="AZ35" s="22"/>
      <c r="BA35" s="22"/>
      <c r="BB35" s="23"/>
    </row>
    <row r="36" spans="1:189" ht="21" customHeight="1" x14ac:dyDescent="0.35">
      <c r="A36" s="2"/>
      <c r="B36" s="7" t="s">
        <v>83</v>
      </c>
      <c r="C36" s="7" t="s">
        <v>78</v>
      </c>
      <c r="D36" s="8" t="s">
        <v>73</v>
      </c>
      <c r="E36" s="17"/>
      <c r="F36" s="10"/>
      <c r="G36" s="10"/>
      <c r="H36" s="10"/>
      <c r="I36" s="11"/>
      <c r="J36" s="9">
        <f t="shared" si="3"/>
        <v>0</v>
      </c>
      <c r="K36" s="10"/>
      <c r="L36" s="10"/>
      <c r="M36" s="10"/>
      <c r="N36" s="11"/>
      <c r="O36" s="10"/>
      <c r="P36" s="10"/>
      <c r="Q36" s="10"/>
      <c r="R36" s="10"/>
      <c r="S36" s="10"/>
      <c r="T36" s="15"/>
      <c r="U36" s="10"/>
      <c r="V36" s="10"/>
      <c r="W36" s="10"/>
      <c r="X36" s="11"/>
      <c r="Y36" s="16"/>
      <c r="Z36" s="10"/>
      <c r="AA36" s="10"/>
      <c r="AB36" s="10"/>
      <c r="AC36" s="11"/>
      <c r="AD36" s="24">
        <f t="shared" si="1"/>
        <v>0</v>
      </c>
      <c r="AE36" s="22"/>
      <c r="AF36" s="22"/>
      <c r="AG36" s="22"/>
      <c r="AH36" s="23"/>
      <c r="AI36" s="25"/>
      <c r="AJ36" s="22"/>
      <c r="AK36" s="22"/>
      <c r="AL36" s="22"/>
      <c r="AM36" s="23"/>
      <c r="AN36" s="21"/>
      <c r="AO36" s="22"/>
      <c r="AP36" s="22"/>
      <c r="AQ36" s="22"/>
      <c r="AR36" s="23"/>
      <c r="AS36" s="21"/>
      <c r="AT36" s="22"/>
      <c r="AU36" s="22"/>
      <c r="AV36" s="22"/>
      <c r="AW36" s="23"/>
      <c r="AX36" s="21"/>
      <c r="AY36" s="22"/>
      <c r="AZ36" s="22"/>
      <c r="BA36" s="22"/>
      <c r="BB36" s="23"/>
    </row>
    <row r="37" spans="1:189" ht="21" customHeight="1" x14ac:dyDescent="0.35">
      <c r="A37" s="2"/>
      <c r="B37" s="7" t="s">
        <v>84</v>
      </c>
      <c r="C37" s="7" t="s">
        <v>78</v>
      </c>
      <c r="D37" s="14" t="s">
        <v>32</v>
      </c>
      <c r="E37" s="17"/>
      <c r="F37" s="10"/>
      <c r="G37" s="10"/>
      <c r="H37" s="10"/>
      <c r="I37" s="11"/>
      <c r="J37" s="9">
        <f t="shared" si="3"/>
        <v>0</v>
      </c>
      <c r="K37" s="10"/>
      <c r="L37" s="10"/>
      <c r="M37" s="10"/>
      <c r="N37" s="11"/>
      <c r="O37" s="10"/>
      <c r="P37" s="10"/>
      <c r="Q37" s="10"/>
      <c r="R37" s="10"/>
      <c r="S37" s="10"/>
      <c r="T37" s="15"/>
      <c r="U37" s="10"/>
      <c r="V37" s="10"/>
      <c r="W37" s="10"/>
      <c r="X37" s="11"/>
      <c r="Y37" s="16"/>
      <c r="Z37" s="10"/>
      <c r="AA37" s="10"/>
      <c r="AB37" s="10"/>
      <c r="AC37" s="11"/>
      <c r="AD37" s="24">
        <f t="shared" si="1"/>
        <v>0</v>
      </c>
      <c r="AE37" s="22"/>
      <c r="AF37" s="22"/>
      <c r="AG37" s="22"/>
      <c r="AH37" s="23"/>
      <c r="AI37" s="25"/>
      <c r="AJ37" s="22"/>
      <c r="AK37" s="22"/>
      <c r="AL37" s="22"/>
      <c r="AM37" s="23"/>
      <c r="AN37" s="21"/>
      <c r="AO37" s="22"/>
      <c r="AP37" s="22"/>
      <c r="AQ37" s="22"/>
      <c r="AR37" s="23"/>
      <c r="AS37" s="21"/>
      <c r="AT37" s="22"/>
      <c r="AU37" s="22"/>
      <c r="AV37" s="22"/>
      <c r="AW37" s="23"/>
      <c r="AX37" s="21"/>
      <c r="AY37" s="22"/>
      <c r="AZ37" s="22"/>
      <c r="BA37" s="22"/>
      <c r="BB37" s="23"/>
    </row>
    <row r="38" spans="1:189" ht="21" customHeight="1" x14ac:dyDescent="0.35">
      <c r="A38" s="2"/>
      <c r="B38" s="7" t="s">
        <v>85</v>
      </c>
      <c r="C38" s="7" t="s">
        <v>78</v>
      </c>
      <c r="D38" s="14" t="s">
        <v>34</v>
      </c>
      <c r="E38" s="17"/>
      <c r="F38" s="10"/>
      <c r="G38" s="10"/>
      <c r="H38" s="10"/>
      <c r="I38" s="11"/>
      <c r="J38" s="9">
        <f t="shared" si="3"/>
        <v>0</v>
      </c>
      <c r="K38" s="10"/>
      <c r="L38" s="10"/>
      <c r="M38" s="10"/>
      <c r="N38" s="11"/>
      <c r="O38" s="10"/>
      <c r="P38" s="10"/>
      <c r="Q38" s="10"/>
      <c r="R38" s="10"/>
      <c r="S38" s="10"/>
      <c r="T38" s="15"/>
      <c r="U38" s="10"/>
      <c r="V38" s="10"/>
      <c r="W38" s="10"/>
      <c r="X38" s="11"/>
      <c r="Y38" s="16"/>
      <c r="Z38" s="10"/>
      <c r="AA38" s="10"/>
      <c r="AB38" s="10"/>
      <c r="AC38" s="11"/>
      <c r="AD38" s="24">
        <f t="shared" si="1"/>
        <v>0</v>
      </c>
      <c r="AE38" s="22"/>
      <c r="AF38" s="22"/>
      <c r="AG38" s="22"/>
      <c r="AH38" s="23"/>
      <c r="AI38" s="25"/>
      <c r="AJ38" s="22"/>
      <c r="AK38" s="22"/>
      <c r="AL38" s="22"/>
      <c r="AM38" s="23"/>
      <c r="AN38" s="21"/>
      <c r="AO38" s="22"/>
      <c r="AP38" s="22"/>
      <c r="AQ38" s="22"/>
      <c r="AR38" s="23"/>
      <c r="AS38" s="21"/>
      <c r="AT38" s="22"/>
      <c r="AU38" s="22"/>
      <c r="AV38" s="22"/>
      <c r="AW38" s="23"/>
      <c r="AX38" s="21"/>
      <c r="AY38" s="22"/>
      <c r="AZ38" s="22"/>
      <c r="BA38" s="22"/>
      <c r="BB38" s="23"/>
    </row>
    <row r="39" spans="1:189" ht="21" customHeight="1" x14ac:dyDescent="0.35">
      <c r="A39" s="2"/>
      <c r="B39" s="7" t="s">
        <v>86</v>
      </c>
      <c r="C39" s="7" t="s">
        <v>78</v>
      </c>
      <c r="D39" s="14" t="s">
        <v>36</v>
      </c>
      <c r="E39" s="15"/>
      <c r="F39" s="10"/>
      <c r="G39" s="10"/>
      <c r="H39" s="10"/>
      <c r="I39" s="11"/>
      <c r="J39" s="9">
        <f t="shared" si="3"/>
        <v>0</v>
      </c>
      <c r="K39" s="10"/>
      <c r="L39" s="10"/>
      <c r="M39" s="10"/>
      <c r="N39" s="11"/>
      <c r="O39" s="10"/>
      <c r="P39" s="10"/>
      <c r="Q39" s="10"/>
      <c r="R39" s="10"/>
      <c r="S39" s="10"/>
      <c r="T39" s="15"/>
      <c r="U39" s="10"/>
      <c r="V39" s="10"/>
      <c r="W39" s="10"/>
      <c r="X39" s="11"/>
      <c r="Y39" s="16"/>
      <c r="Z39" s="10"/>
      <c r="AA39" s="10"/>
      <c r="AB39" s="10"/>
      <c r="AC39" s="11"/>
      <c r="AD39" s="24">
        <f t="shared" si="1"/>
        <v>0</v>
      </c>
      <c r="AE39" s="22"/>
      <c r="AF39" s="22"/>
      <c r="AG39" s="22"/>
      <c r="AH39" s="23"/>
      <c r="AI39" s="25"/>
      <c r="AJ39" s="22"/>
      <c r="AK39" s="22"/>
      <c r="AL39" s="22"/>
      <c r="AM39" s="23"/>
      <c r="AN39" s="21"/>
      <c r="AO39" s="22"/>
      <c r="AP39" s="22"/>
      <c r="AQ39" s="22"/>
      <c r="AR39" s="23"/>
      <c r="AS39" s="21"/>
      <c r="AT39" s="22"/>
      <c r="AU39" s="22"/>
      <c r="AV39" s="22"/>
      <c r="AW39" s="23"/>
      <c r="AX39" s="21"/>
      <c r="AY39" s="22"/>
      <c r="AZ39" s="22"/>
      <c r="BA39" s="22"/>
      <c r="BB39" s="23"/>
    </row>
    <row r="40" spans="1:189" ht="21" customHeight="1" x14ac:dyDescent="0.35">
      <c r="A40" s="2"/>
      <c r="B40" s="7" t="s">
        <v>87</v>
      </c>
      <c r="C40" s="7" t="s">
        <v>88</v>
      </c>
      <c r="D40" s="8" t="s">
        <v>89</v>
      </c>
      <c r="E40" s="15"/>
      <c r="F40" s="10"/>
      <c r="G40" s="10"/>
      <c r="H40" s="10"/>
      <c r="I40" s="11"/>
      <c r="J40" s="9">
        <f t="shared" ref="J40:J46" si="4">E40*0.0012</f>
        <v>0</v>
      </c>
      <c r="K40" s="10"/>
      <c r="L40" s="10"/>
      <c r="M40" s="10"/>
      <c r="N40" s="11"/>
      <c r="O40" s="10"/>
      <c r="P40" s="10"/>
      <c r="Q40" s="10"/>
      <c r="R40" s="10"/>
      <c r="S40" s="10"/>
      <c r="T40" s="15"/>
      <c r="U40" s="10"/>
      <c r="V40" s="10"/>
      <c r="W40" s="10"/>
      <c r="X40" s="11"/>
      <c r="Y40" s="16"/>
      <c r="Z40" s="10"/>
      <c r="AA40" s="10"/>
      <c r="AB40" s="10"/>
      <c r="AC40" s="11"/>
      <c r="AD40" s="24">
        <f t="shared" si="1"/>
        <v>0</v>
      </c>
      <c r="AE40" s="22"/>
      <c r="AF40" s="22"/>
      <c r="AG40" s="22"/>
      <c r="AH40" s="23"/>
      <c r="AI40" s="25"/>
      <c r="AJ40" s="22"/>
      <c r="AK40" s="22"/>
      <c r="AL40" s="22"/>
      <c r="AM40" s="23"/>
      <c r="AN40" s="21"/>
      <c r="AO40" s="22"/>
      <c r="AP40" s="22"/>
      <c r="AQ40" s="22"/>
      <c r="AR40" s="23"/>
      <c r="AS40" s="21"/>
      <c r="AT40" s="22"/>
      <c r="AU40" s="22"/>
      <c r="AV40" s="22"/>
      <c r="AW40" s="23"/>
      <c r="AX40" s="21"/>
      <c r="AY40" s="22"/>
      <c r="AZ40" s="22"/>
      <c r="BA40" s="22"/>
      <c r="BB40" s="23"/>
    </row>
    <row r="41" spans="1:189" ht="21" customHeight="1" x14ac:dyDescent="0.35">
      <c r="A41" s="2"/>
      <c r="B41" s="7" t="s">
        <v>90</v>
      </c>
      <c r="C41" s="7" t="s">
        <v>88</v>
      </c>
      <c r="D41" s="8" t="s">
        <v>81</v>
      </c>
      <c r="E41" s="17"/>
      <c r="F41" s="10"/>
      <c r="G41" s="10"/>
      <c r="H41" s="10"/>
      <c r="I41" s="11"/>
      <c r="J41" s="9">
        <f t="shared" si="4"/>
        <v>0</v>
      </c>
      <c r="K41" s="10"/>
      <c r="L41" s="10"/>
      <c r="M41" s="10"/>
      <c r="N41" s="11"/>
      <c r="O41" s="10"/>
      <c r="P41" s="10"/>
      <c r="Q41" s="10"/>
      <c r="R41" s="10"/>
      <c r="S41" s="10"/>
      <c r="T41" s="15"/>
      <c r="U41" s="10"/>
      <c r="V41" s="10"/>
      <c r="W41" s="10"/>
      <c r="X41" s="11"/>
      <c r="Y41" s="16"/>
      <c r="Z41" s="10"/>
      <c r="AA41" s="10"/>
      <c r="AB41" s="10"/>
      <c r="AC41" s="11"/>
      <c r="AD41" s="24">
        <f t="shared" si="1"/>
        <v>0</v>
      </c>
      <c r="AE41" s="22"/>
      <c r="AF41" s="22"/>
      <c r="AG41" s="22"/>
      <c r="AH41" s="23"/>
      <c r="AI41" s="25"/>
      <c r="AJ41" s="22"/>
      <c r="AK41" s="22"/>
      <c r="AL41" s="22"/>
      <c r="AM41" s="23"/>
      <c r="AN41" s="21"/>
      <c r="AO41" s="22"/>
      <c r="AP41" s="22"/>
      <c r="AQ41" s="22"/>
      <c r="AR41" s="23"/>
      <c r="AS41" s="21"/>
      <c r="AT41" s="22"/>
      <c r="AU41" s="22"/>
      <c r="AV41" s="22"/>
      <c r="AW41" s="23"/>
      <c r="AX41" s="21"/>
      <c r="AY41" s="22"/>
      <c r="AZ41" s="22"/>
      <c r="BA41" s="22"/>
      <c r="BB41" s="23"/>
    </row>
    <row r="42" spans="1:189" ht="21" customHeight="1" x14ac:dyDescent="0.35">
      <c r="A42" s="2"/>
      <c r="B42" s="7" t="s">
        <v>91</v>
      </c>
      <c r="C42" s="7" t="s">
        <v>88</v>
      </c>
      <c r="D42" s="8" t="s">
        <v>92</v>
      </c>
      <c r="E42" s="17"/>
      <c r="F42" s="10"/>
      <c r="G42" s="10"/>
      <c r="H42" s="10"/>
      <c r="I42" s="11"/>
      <c r="J42" s="9">
        <f t="shared" si="4"/>
        <v>0</v>
      </c>
      <c r="K42" s="10"/>
      <c r="L42" s="10"/>
      <c r="M42" s="10"/>
      <c r="N42" s="11"/>
      <c r="O42" s="10"/>
      <c r="P42" s="10"/>
      <c r="Q42" s="10"/>
      <c r="R42" s="10"/>
      <c r="S42" s="10"/>
      <c r="T42" s="15"/>
      <c r="U42" s="10"/>
      <c r="V42" s="10"/>
      <c r="W42" s="10"/>
      <c r="X42" s="11"/>
      <c r="Y42" s="16"/>
      <c r="Z42" s="10"/>
      <c r="AA42" s="10"/>
      <c r="AB42" s="10"/>
      <c r="AC42" s="11"/>
      <c r="AD42" s="24">
        <f t="shared" si="1"/>
        <v>0</v>
      </c>
      <c r="AE42" s="22"/>
      <c r="AF42" s="22"/>
      <c r="AG42" s="22"/>
      <c r="AH42" s="23"/>
      <c r="AI42" s="25"/>
      <c r="AJ42" s="22"/>
      <c r="AK42" s="22"/>
      <c r="AL42" s="22"/>
      <c r="AM42" s="23"/>
      <c r="AN42" s="21"/>
      <c r="AO42" s="22"/>
      <c r="AP42" s="22"/>
      <c r="AQ42" s="22"/>
      <c r="AR42" s="23"/>
      <c r="AS42" s="21"/>
      <c r="AT42" s="22"/>
      <c r="AU42" s="22"/>
      <c r="AV42" s="22"/>
      <c r="AW42" s="23"/>
      <c r="AX42" s="21"/>
      <c r="AY42" s="22"/>
      <c r="AZ42" s="22"/>
      <c r="BA42" s="22"/>
      <c r="BB42" s="23"/>
    </row>
    <row r="43" spans="1:189" ht="21" customHeight="1" x14ac:dyDescent="0.35">
      <c r="A43" s="2"/>
      <c r="B43" s="7" t="s">
        <v>93</v>
      </c>
      <c r="C43" s="7" t="s">
        <v>88</v>
      </c>
      <c r="D43" s="14" t="s">
        <v>30</v>
      </c>
      <c r="E43" s="17"/>
      <c r="F43" s="10"/>
      <c r="G43" s="10"/>
      <c r="H43" s="10"/>
      <c r="I43" s="11"/>
      <c r="J43" s="9">
        <f t="shared" si="4"/>
        <v>0</v>
      </c>
      <c r="K43" s="10"/>
      <c r="L43" s="10"/>
      <c r="M43" s="10"/>
      <c r="N43" s="11"/>
      <c r="O43" s="10"/>
      <c r="P43" s="10"/>
      <c r="Q43" s="10"/>
      <c r="R43" s="10"/>
      <c r="S43" s="10"/>
      <c r="T43" s="15"/>
      <c r="U43" s="10"/>
      <c r="V43" s="10"/>
      <c r="W43" s="10"/>
      <c r="X43" s="11"/>
      <c r="Y43" s="16"/>
      <c r="Z43" s="10"/>
      <c r="AA43" s="10"/>
      <c r="AB43" s="10"/>
      <c r="AC43" s="11"/>
      <c r="AD43" s="24">
        <f t="shared" si="1"/>
        <v>0</v>
      </c>
      <c r="AE43" s="22"/>
      <c r="AF43" s="22"/>
      <c r="AG43" s="22"/>
      <c r="AH43" s="23"/>
      <c r="AI43" s="25"/>
      <c r="AJ43" s="22"/>
      <c r="AK43" s="22"/>
      <c r="AL43" s="22"/>
      <c r="AM43" s="23"/>
      <c r="AN43" s="21"/>
      <c r="AO43" s="22"/>
      <c r="AP43" s="22"/>
      <c r="AQ43" s="22"/>
      <c r="AR43" s="23"/>
      <c r="AS43" s="21"/>
      <c r="AT43" s="22"/>
      <c r="AU43" s="22"/>
      <c r="AV43" s="22"/>
      <c r="AW43" s="23"/>
      <c r="AX43" s="21"/>
      <c r="AY43" s="22"/>
      <c r="AZ43" s="22"/>
      <c r="BA43" s="22"/>
      <c r="BB43" s="23"/>
    </row>
    <row r="44" spans="1:189" ht="21" customHeight="1" x14ac:dyDescent="0.35">
      <c r="A44" s="2"/>
      <c r="B44" s="7" t="s">
        <v>94</v>
      </c>
      <c r="C44" s="7" t="s">
        <v>88</v>
      </c>
      <c r="D44" s="14" t="s">
        <v>32</v>
      </c>
      <c r="E44" s="17"/>
      <c r="F44" s="10"/>
      <c r="G44" s="10"/>
      <c r="H44" s="10"/>
      <c r="I44" s="11"/>
      <c r="J44" s="9">
        <f t="shared" si="4"/>
        <v>0</v>
      </c>
      <c r="K44" s="10"/>
      <c r="L44" s="10"/>
      <c r="M44" s="10"/>
      <c r="N44" s="11"/>
      <c r="O44" s="10"/>
      <c r="P44" s="10"/>
      <c r="Q44" s="10"/>
      <c r="R44" s="10"/>
      <c r="S44" s="10"/>
      <c r="T44" s="15"/>
      <c r="U44" s="10"/>
      <c r="V44" s="10"/>
      <c r="W44" s="10"/>
      <c r="X44" s="11"/>
      <c r="Y44" s="16"/>
      <c r="Z44" s="10"/>
      <c r="AA44" s="10"/>
      <c r="AB44" s="10"/>
      <c r="AC44" s="11"/>
      <c r="AD44" s="24">
        <f t="shared" si="1"/>
        <v>0</v>
      </c>
      <c r="AE44" s="22"/>
      <c r="AF44" s="22"/>
      <c r="AG44" s="22"/>
      <c r="AH44" s="23"/>
      <c r="AI44" s="25"/>
      <c r="AJ44" s="22"/>
      <c r="AK44" s="22"/>
      <c r="AL44" s="22"/>
      <c r="AM44" s="23"/>
      <c r="AN44" s="21"/>
      <c r="AO44" s="22"/>
      <c r="AP44" s="22"/>
      <c r="AQ44" s="22"/>
      <c r="AR44" s="23"/>
      <c r="AS44" s="21"/>
      <c r="AT44" s="22"/>
      <c r="AU44" s="22"/>
      <c r="AV44" s="22"/>
      <c r="AW44" s="23"/>
      <c r="AX44" s="21"/>
      <c r="AY44" s="22"/>
      <c r="AZ44" s="22"/>
      <c r="BA44" s="22"/>
      <c r="BB44" s="23"/>
    </row>
    <row r="45" spans="1:189" ht="21" customHeight="1" x14ac:dyDescent="0.35">
      <c r="A45" s="2"/>
      <c r="B45" s="7" t="s">
        <v>95</v>
      </c>
      <c r="C45" s="7" t="s">
        <v>88</v>
      </c>
      <c r="D45" s="14" t="s">
        <v>34</v>
      </c>
      <c r="E45" s="17"/>
      <c r="F45" s="10"/>
      <c r="G45" s="10"/>
      <c r="H45" s="10"/>
      <c r="I45" s="11"/>
      <c r="J45" s="9">
        <f t="shared" si="4"/>
        <v>0</v>
      </c>
      <c r="K45" s="10"/>
      <c r="L45" s="10"/>
      <c r="M45" s="10"/>
      <c r="N45" s="11"/>
      <c r="O45" s="10"/>
      <c r="P45" s="10"/>
      <c r="Q45" s="10"/>
      <c r="R45" s="10"/>
      <c r="S45" s="10"/>
      <c r="T45" s="15"/>
      <c r="U45" s="10"/>
      <c r="V45" s="10"/>
      <c r="W45" s="10"/>
      <c r="X45" s="11"/>
      <c r="Y45" s="16"/>
      <c r="Z45" s="10"/>
      <c r="AA45" s="10"/>
      <c r="AB45" s="10"/>
      <c r="AC45" s="11"/>
      <c r="AD45" s="24">
        <f t="shared" si="1"/>
        <v>0</v>
      </c>
      <c r="AE45" s="22"/>
      <c r="AF45" s="22"/>
      <c r="AG45" s="22"/>
      <c r="AH45" s="23"/>
      <c r="AI45" s="25"/>
      <c r="AJ45" s="22"/>
      <c r="AK45" s="22"/>
      <c r="AL45" s="22"/>
      <c r="AM45" s="23"/>
      <c r="AN45" s="21"/>
      <c r="AO45" s="22"/>
      <c r="AP45" s="22"/>
      <c r="AQ45" s="22"/>
      <c r="AR45" s="23"/>
      <c r="AS45" s="21"/>
      <c r="AT45" s="22"/>
      <c r="AU45" s="22"/>
      <c r="AV45" s="22"/>
      <c r="AW45" s="23"/>
      <c r="AX45" s="21"/>
      <c r="AY45" s="22"/>
      <c r="AZ45" s="22"/>
      <c r="BA45" s="22"/>
      <c r="BB45" s="23"/>
    </row>
    <row r="46" spans="1:189" ht="21" customHeight="1" x14ac:dyDescent="0.35">
      <c r="A46" s="2"/>
      <c r="B46" s="7" t="s">
        <v>96</v>
      </c>
      <c r="C46" s="7" t="s">
        <v>88</v>
      </c>
      <c r="D46" s="14" t="s">
        <v>36</v>
      </c>
      <c r="E46" s="15"/>
      <c r="F46" s="10"/>
      <c r="G46" s="10"/>
      <c r="H46" s="10"/>
      <c r="I46" s="11"/>
      <c r="J46" s="9">
        <f t="shared" si="4"/>
        <v>0</v>
      </c>
      <c r="K46" s="10"/>
      <c r="L46" s="10"/>
      <c r="M46" s="10"/>
      <c r="N46" s="11"/>
      <c r="O46" s="10"/>
      <c r="P46" s="10"/>
      <c r="Q46" s="10"/>
      <c r="R46" s="10"/>
      <c r="S46" s="10"/>
      <c r="T46" s="15"/>
      <c r="U46" s="10"/>
      <c r="V46" s="10"/>
      <c r="W46" s="10"/>
      <c r="X46" s="11"/>
      <c r="Y46" s="16"/>
      <c r="Z46" s="10"/>
      <c r="AA46" s="10"/>
      <c r="AB46" s="10"/>
      <c r="AC46" s="11"/>
      <c r="AD46" s="24">
        <f t="shared" si="1"/>
        <v>0</v>
      </c>
      <c r="AE46" s="22"/>
      <c r="AF46" s="22"/>
      <c r="AG46" s="22"/>
      <c r="AH46" s="23"/>
      <c r="AI46" s="25"/>
      <c r="AJ46" s="22"/>
      <c r="AK46" s="22"/>
      <c r="AL46" s="22"/>
      <c r="AM46" s="23"/>
      <c r="AN46" s="21"/>
      <c r="AO46" s="22"/>
      <c r="AP46" s="22"/>
      <c r="AQ46" s="22"/>
      <c r="AR46" s="23"/>
      <c r="AS46" s="21"/>
      <c r="AT46" s="22"/>
      <c r="AU46" s="22"/>
      <c r="AV46" s="22"/>
      <c r="AW46" s="23"/>
      <c r="AX46" s="21"/>
      <c r="AY46" s="22"/>
      <c r="AZ46" s="22"/>
      <c r="BA46" s="22"/>
      <c r="BB46" s="23"/>
    </row>
    <row r="47" spans="1:189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</row>
    <row r="48" spans="1:189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</row>
    <row r="49" spans="1:189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</row>
    <row r="50" spans="1:189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</row>
    <row r="51" spans="1:189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</row>
    <row r="52" spans="1:189" ht="21" customHeight="1" x14ac:dyDescent="0.35">
      <c r="A52" s="2"/>
    </row>
    <row r="53" spans="1:189" ht="21" customHeight="1" x14ac:dyDescent="0.35">
      <c r="A53" s="2"/>
    </row>
    <row r="54" spans="1:189" ht="21" customHeight="1" x14ac:dyDescent="0.35">
      <c r="A54" s="2"/>
    </row>
    <row r="55" spans="1:189" ht="21" customHeight="1" x14ac:dyDescent="0.35">
      <c r="A55" s="2"/>
    </row>
    <row r="56" spans="1:189" ht="21" customHeight="1" x14ac:dyDescent="0.35">
      <c r="A56" s="2"/>
    </row>
    <row r="57" spans="1:189" ht="21" customHeight="1" x14ac:dyDescent="0.35">
      <c r="A57" s="2"/>
    </row>
    <row r="58" spans="1:189" ht="21" customHeight="1" x14ac:dyDescent="0.35">
      <c r="A58" s="2"/>
    </row>
    <row r="59" spans="1:189" ht="21" customHeight="1" x14ac:dyDescent="0.35">
      <c r="A59" s="2"/>
    </row>
    <row r="60" spans="1:189" ht="21" customHeight="1" x14ac:dyDescent="0.35">
      <c r="A60" s="2"/>
    </row>
    <row r="61" spans="1:189" ht="21" customHeight="1" x14ac:dyDescent="0.35">
      <c r="A61" s="2"/>
    </row>
    <row r="62" spans="1:189" ht="21" customHeight="1" x14ac:dyDescent="0.35">
      <c r="A62" s="2"/>
    </row>
    <row r="63" spans="1:189" ht="21" customHeight="1" x14ac:dyDescent="0.35">
      <c r="A63" s="2"/>
    </row>
    <row r="64" spans="1:189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230">
    <mergeCell ref="AI38:AM38"/>
    <mergeCell ref="AD38:AH38"/>
    <mergeCell ref="AD39:AH39"/>
    <mergeCell ref="AI39:AM39"/>
    <mergeCell ref="AN39:AR39"/>
    <mergeCell ref="AS37:AW37"/>
    <mergeCell ref="AX37:BB37"/>
    <mergeCell ref="AD37:AH37"/>
    <mergeCell ref="AN38:AR38"/>
    <mergeCell ref="AI37:AM37"/>
    <mergeCell ref="AS23:AW23"/>
    <mergeCell ref="AX23:BB23"/>
    <mergeCell ref="AD23:AH23"/>
    <mergeCell ref="AI23:AM23"/>
    <mergeCell ref="AN23:AR23"/>
    <mergeCell ref="AS39:AW39"/>
    <mergeCell ref="AX39:BB39"/>
    <mergeCell ref="AX38:BB38"/>
    <mergeCell ref="AS38:AW38"/>
    <mergeCell ref="AN24:AR24"/>
    <mergeCell ref="AI24:AM24"/>
    <mergeCell ref="AD24:AH24"/>
    <mergeCell ref="AD25:AH25"/>
    <mergeCell ref="AI25:AM25"/>
    <mergeCell ref="AN25:AR25"/>
    <mergeCell ref="AS25:AW25"/>
    <mergeCell ref="AX25:BB25"/>
    <mergeCell ref="AX24:BB24"/>
    <mergeCell ref="AS24:AW24"/>
    <mergeCell ref="AN36:AR36"/>
    <mergeCell ref="AN35:AR35"/>
    <mergeCell ref="AN34:AR34"/>
    <mergeCell ref="AN33:AR33"/>
    <mergeCell ref="AN37:AR37"/>
    <mergeCell ref="AX26:BB26"/>
    <mergeCell ref="AX45:BB45"/>
    <mergeCell ref="AS45:AW45"/>
    <mergeCell ref="AX46:BB46"/>
    <mergeCell ref="AD46:AH46"/>
    <mergeCell ref="AS44:AW44"/>
    <mergeCell ref="AX44:BB44"/>
    <mergeCell ref="AD44:AH44"/>
    <mergeCell ref="AI44:AM44"/>
    <mergeCell ref="AN44:AR44"/>
    <mergeCell ref="AI46:AM46"/>
    <mergeCell ref="AN45:AR45"/>
    <mergeCell ref="AN46:AR46"/>
    <mergeCell ref="AS46:AW46"/>
    <mergeCell ref="AI45:AM45"/>
    <mergeCell ref="AD45:AH45"/>
    <mergeCell ref="AS32:AW32"/>
    <mergeCell ref="AX32:BB32"/>
    <mergeCell ref="AX31:BB31"/>
    <mergeCell ref="AS31:AW31"/>
    <mergeCell ref="AS30:AW30"/>
    <mergeCell ref="AX30:BB30"/>
    <mergeCell ref="AD30:AH30"/>
    <mergeCell ref="AI30:AM30"/>
    <mergeCell ref="AX40:BB40"/>
    <mergeCell ref="AS33:AW33"/>
    <mergeCell ref="AX33:BB33"/>
    <mergeCell ref="AS36:AW36"/>
    <mergeCell ref="AX36:BB36"/>
    <mergeCell ref="AS35:AW35"/>
    <mergeCell ref="AX35:BB35"/>
    <mergeCell ref="AX34:BB34"/>
    <mergeCell ref="AS34:AW34"/>
    <mergeCell ref="AS5:AW5"/>
    <mergeCell ref="AI4:AM4"/>
    <mergeCell ref="AD4:AH4"/>
    <mergeCell ref="AD5:AH5"/>
    <mergeCell ref="AI5:AM5"/>
    <mergeCell ref="AD3:AH3"/>
    <mergeCell ref="AN4:AR4"/>
    <mergeCell ref="AN3:AR3"/>
    <mergeCell ref="AD40:AH40"/>
    <mergeCell ref="AI40:AM40"/>
    <mergeCell ref="AN40:AR40"/>
    <mergeCell ref="AS40:AW40"/>
    <mergeCell ref="AS26:AW26"/>
    <mergeCell ref="AN30:AR30"/>
    <mergeCell ref="AN31:AR31"/>
    <mergeCell ref="AI31:AM31"/>
    <mergeCell ref="AD31:AH31"/>
    <mergeCell ref="AD32:AH32"/>
    <mergeCell ref="AI32:AM32"/>
    <mergeCell ref="AN32:AR32"/>
    <mergeCell ref="AD26:AH26"/>
    <mergeCell ref="AI26:AM26"/>
    <mergeCell ref="AN26:AR26"/>
    <mergeCell ref="AI27:AM27"/>
    <mergeCell ref="AD7:AH7"/>
    <mergeCell ref="AD6:AH6"/>
    <mergeCell ref="AI6:AM6"/>
    <mergeCell ref="AI7:AM7"/>
    <mergeCell ref="AN7:AR7"/>
    <mergeCell ref="AS7:AW7"/>
    <mergeCell ref="AX7:BB7"/>
    <mergeCell ref="AX6:BB6"/>
    <mergeCell ref="AN1:AR1"/>
    <mergeCell ref="AS1:AW1"/>
    <mergeCell ref="AD1:AH1"/>
    <mergeCell ref="AI1:AM1"/>
    <mergeCell ref="AX1:BB1"/>
    <mergeCell ref="AN2:AR2"/>
    <mergeCell ref="AS2:AW2"/>
    <mergeCell ref="AX5:BB5"/>
    <mergeCell ref="AX2:BB2"/>
    <mergeCell ref="AS4:AW4"/>
    <mergeCell ref="AX4:BB4"/>
    <mergeCell ref="AS3:AW3"/>
    <mergeCell ref="AX3:BB3"/>
    <mergeCell ref="AN6:AR6"/>
    <mergeCell ref="AS6:AW6"/>
    <mergeCell ref="AN5:AR5"/>
    <mergeCell ref="AN10:AR10"/>
    <mergeCell ref="AI9:AM9"/>
    <mergeCell ref="AN9:AR9"/>
    <mergeCell ref="AS9:AW9"/>
    <mergeCell ref="AD8:AH8"/>
    <mergeCell ref="AS8:AW8"/>
    <mergeCell ref="AX8:BB8"/>
    <mergeCell ref="AN8:AR8"/>
    <mergeCell ref="AI8:AM8"/>
    <mergeCell ref="AS17:AW17"/>
    <mergeCell ref="AX17:BB17"/>
    <mergeCell ref="AX18:BB18"/>
    <mergeCell ref="AS18:AW18"/>
    <mergeCell ref="AI17:AM17"/>
    <mergeCell ref="AN17:AR17"/>
    <mergeCell ref="AD17:AH17"/>
    <mergeCell ref="AD18:AH18"/>
    <mergeCell ref="AI18:AM18"/>
    <mergeCell ref="AN18:AR18"/>
    <mergeCell ref="AD2:AH2"/>
    <mergeCell ref="AI2:AM2"/>
    <mergeCell ref="AI3:AM3"/>
    <mergeCell ref="AS12:AW12"/>
    <mergeCell ref="AX12:BB12"/>
    <mergeCell ref="AD12:AH12"/>
    <mergeCell ref="AI12:AM12"/>
    <mergeCell ref="AN12:AR12"/>
    <mergeCell ref="AI16:AM16"/>
    <mergeCell ref="AN16:AR16"/>
    <mergeCell ref="AS16:AW16"/>
    <mergeCell ref="AX16:BB16"/>
    <mergeCell ref="AD16:AH16"/>
    <mergeCell ref="AX9:BB9"/>
    <mergeCell ref="AX10:BB10"/>
    <mergeCell ref="AN11:AR11"/>
    <mergeCell ref="AS11:AW11"/>
    <mergeCell ref="AX11:BB11"/>
    <mergeCell ref="AD10:AH10"/>
    <mergeCell ref="AD11:AH11"/>
    <mergeCell ref="AI10:AM10"/>
    <mergeCell ref="AI11:AM11"/>
    <mergeCell ref="AD9:AH9"/>
    <mergeCell ref="AS10:AW10"/>
    <mergeCell ref="AS15:AW15"/>
    <mergeCell ref="AX15:BB15"/>
    <mergeCell ref="AI13:AM13"/>
    <mergeCell ref="AD13:AH13"/>
    <mergeCell ref="AD14:AH14"/>
    <mergeCell ref="AI14:AM14"/>
    <mergeCell ref="AN14:AR14"/>
    <mergeCell ref="AS14:AW14"/>
    <mergeCell ref="AX14:BB14"/>
    <mergeCell ref="AX13:BB13"/>
    <mergeCell ref="AS13:AW13"/>
    <mergeCell ref="AN13:AR13"/>
    <mergeCell ref="AD15:AH15"/>
    <mergeCell ref="AI15:AM15"/>
    <mergeCell ref="AN15:AR15"/>
    <mergeCell ref="AI22:AM22"/>
    <mergeCell ref="AN22:AR22"/>
    <mergeCell ref="AS22:AW22"/>
    <mergeCell ref="AX22:BB22"/>
    <mergeCell ref="AD22:AH22"/>
    <mergeCell ref="AS19:AW19"/>
    <mergeCell ref="AX19:BB19"/>
    <mergeCell ref="AD19:AH19"/>
    <mergeCell ref="AI19:AM19"/>
    <mergeCell ref="AN19:AR19"/>
    <mergeCell ref="AN20:AR20"/>
    <mergeCell ref="AI20:AM20"/>
    <mergeCell ref="AD20:AH20"/>
    <mergeCell ref="AD21:AH21"/>
    <mergeCell ref="AI21:AM21"/>
    <mergeCell ref="AN21:AR21"/>
    <mergeCell ref="AS21:AW21"/>
    <mergeCell ref="AX21:BB21"/>
    <mergeCell ref="AX20:BB20"/>
    <mergeCell ref="AS20:AW20"/>
    <mergeCell ref="AX27:BB27"/>
    <mergeCell ref="AS27:AW27"/>
    <mergeCell ref="AN27:AR27"/>
    <mergeCell ref="AD36:AH36"/>
    <mergeCell ref="AI36:AM36"/>
    <mergeCell ref="AD33:AH33"/>
    <mergeCell ref="AI33:AM33"/>
    <mergeCell ref="AI34:AM34"/>
    <mergeCell ref="AD34:AH34"/>
    <mergeCell ref="AD35:AH35"/>
    <mergeCell ref="AI35:AM35"/>
    <mergeCell ref="AD27:AH27"/>
    <mergeCell ref="AD28:AH28"/>
    <mergeCell ref="AI29:AM29"/>
    <mergeCell ref="AN29:AR29"/>
    <mergeCell ref="AS29:AW29"/>
    <mergeCell ref="AX29:BB29"/>
    <mergeCell ref="AD29:AH29"/>
    <mergeCell ref="AI28:AM28"/>
    <mergeCell ref="AN28:AR28"/>
    <mergeCell ref="AS28:AW28"/>
    <mergeCell ref="AX28:BB28"/>
    <mergeCell ref="AS43:AW43"/>
    <mergeCell ref="AX43:BB43"/>
    <mergeCell ref="AD43:AH43"/>
    <mergeCell ref="AN41:AR41"/>
    <mergeCell ref="AI43:AM43"/>
    <mergeCell ref="AN43:AR43"/>
    <mergeCell ref="AI41:AM41"/>
    <mergeCell ref="AD41:AH41"/>
    <mergeCell ref="AD42:AH42"/>
    <mergeCell ref="AI42:AM42"/>
    <mergeCell ref="AN42:AR42"/>
    <mergeCell ref="AS42:AW42"/>
    <mergeCell ref="AX42:BB42"/>
    <mergeCell ref="AX41:BB41"/>
    <mergeCell ref="AS41:AW4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  <outlinePr summaryBelow="0" summaryRight="0"/>
    <pageSetUpPr fitToPage="1"/>
  </sheetPr>
  <dimension ref="A1:GB70"/>
  <sheetViews>
    <sheetView showGridLines="0" workbookViewId="0">
      <selection activeCell="AN44" sqref="AN44:AR44"/>
    </sheetView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83203125" customWidth="1"/>
    <col min="4" max="4" width="10.75" customWidth="1"/>
    <col min="5" max="18" width="3" customWidth="1"/>
    <col min="19" max="19" width="25.75" customWidth="1"/>
    <col min="20" max="23" width="3" customWidth="1"/>
    <col min="24" max="24" width="2.75" customWidth="1"/>
    <col min="25" max="48" width="3" customWidth="1"/>
    <col min="49" max="49" width="79" customWidth="1"/>
    <col min="50" max="78" width="3" customWidth="1"/>
    <col min="79" max="79" width="12.25" customWidth="1"/>
    <col min="80" max="138" width="3" customWidth="1"/>
    <col min="139" max="139" width="45.08203125" customWidth="1"/>
    <col min="14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439</v>
      </c>
      <c r="F2" s="22"/>
      <c r="G2" s="22"/>
      <c r="H2" s="22"/>
      <c r="I2" s="23"/>
      <c r="J2" s="32">
        <f t="shared" ref="J2:J17" si="0">E2*0.00125</f>
        <v>0.54874999999999996</v>
      </c>
      <c r="K2" s="22"/>
      <c r="L2" s="22"/>
      <c r="M2" s="22"/>
      <c r="N2" s="23"/>
      <c r="O2" s="32">
        <v>1021</v>
      </c>
      <c r="P2" s="22"/>
      <c r="Q2" s="22"/>
      <c r="R2" s="22"/>
      <c r="S2" s="23"/>
      <c r="T2" s="24">
        <v>439</v>
      </c>
      <c r="U2" s="22"/>
      <c r="V2" s="22"/>
      <c r="W2" s="22"/>
      <c r="X2" s="23"/>
      <c r="Y2" s="24">
        <f t="shared" ref="Y2:Y46" si="1">T2*0.001333</f>
        <v>0.58518700000000001</v>
      </c>
      <c r="Z2" s="22"/>
      <c r="AA2" s="22"/>
      <c r="AB2" s="22"/>
      <c r="AC2" s="23"/>
      <c r="AD2" s="24">
        <v>1118</v>
      </c>
      <c r="AE2" s="22"/>
      <c r="AF2" s="22"/>
      <c r="AG2" s="22"/>
      <c r="AH2" s="23"/>
      <c r="AI2" s="26">
        <v>1144</v>
      </c>
      <c r="AJ2" s="22"/>
      <c r="AK2" s="22"/>
      <c r="AL2" s="22"/>
      <c r="AM2" s="23"/>
      <c r="AN2" s="26">
        <v>1224</v>
      </c>
      <c r="AO2" s="22"/>
      <c r="AP2" s="22"/>
      <c r="AQ2" s="22"/>
      <c r="AR2" s="23"/>
      <c r="AS2" s="26" t="s">
        <v>133</v>
      </c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439</v>
      </c>
      <c r="F3" s="22"/>
      <c r="G3" s="22"/>
      <c r="H3" s="22"/>
      <c r="I3" s="23"/>
      <c r="J3" s="32">
        <f t="shared" si="0"/>
        <v>0.54874999999999996</v>
      </c>
      <c r="K3" s="22"/>
      <c r="L3" s="22"/>
      <c r="M3" s="22"/>
      <c r="N3" s="23"/>
      <c r="O3" s="32">
        <v>1023</v>
      </c>
      <c r="P3" s="22"/>
      <c r="Q3" s="22"/>
      <c r="R3" s="22"/>
      <c r="S3" s="23"/>
      <c r="T3" s="36">
        <v>439</v>
      </c>
      <c r="U3" s="22"/>
      <c r="V3" s="22"/>
      <c r="W3" s="22"/>
      <c r="X3" s="23"/>
      <c r="Y3" s="24">
        <f t="shared" si="1"/>
        <v>0.58518700000000001</v>
      </c>
      <c r="Z3" s="22"/>
      <c r="AA3" s="22"/>
      <c r="AB3" s="22"/>
      <c r="AC3" s="23"/>
      <c r="AD3" s="24">
        <v>1118</v>
      </c>
      <c r="AE3" s="22"/>
      <c r="AF3" s="22"/>
      <c r="AG3" s="22"/>
      <c r="AH3" s="23"/>
      <c r="AI3" s="26">
        <v>1145</v>
      </c>
      <c r="AJ3" s="22"/>
      <c r="AK3" s="22"/>
      <c r="AL3" s="22"/>
      <c r="AM3" s="23"/>
      <c r="AN3" s="26">
        <v>1225</v>
      </c>
      <c r="AO3" s="22"/>
      <c r="AP3" s="22"/>
      <c r="AQ3" s="22"/>
      <c r="AR3" s="23"/>
      <c r="AS3" s="26"/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431</v>
      </c>
      <c r="F4" s="22"/>
      <c r="G4" s="22"/>
      <c r="H4" s="22"/>
      <c r="I4" s="23"/>
      <c r="J4" s="32">
        <f t="shared" si="0"/>
        <v>0.53875000000000006</v>
      </c>
      <c r="K4" s="22"/>
      <c r="L4" s="22"/>
      <c r="M4" s="22"/>
      <c r="N4" s="23"/>
      <c r="O4" s="32">
        <v>1024</v>
      </c>
      <c r="P4" s="22"/>
      <c r="Q4" s="22"/>
      <c r="R4" s="22"/>
      <c r="S4" s="23"/>
      <c r="T4" s="36">
        <v>431</v>
      </c>
      <c r="U4" s="22"/>
      <c r="V4" s="22"/>
      <c r="W4" s="22"/>
      <c r="X4" s="23"/>
      <c r="Y4" s="24">
        <f t="shared" si="1"/>
        <v>0.57452300000000001</v>
      </c>
      <c r="Z4" s="22"/>
      <c r="AA4" s="22"/>
      <c r="AB4" s="22"/>
      <c r="AC4" s="23"/>
      <c r="AD4" s="24">
        <v>1119</v>
      </c>
      <c r="AE4" s="22"/>
      <c r="AF4" s="22"/>
      <c r="AG4" s="22"/>
      <c r="AH4" s="23"/>
      <c r="AI4" s="26">
        <v>1146</v>
      </c>
      <c r="AJ4" s="22"/>
      <c r="AK4" s="22"/>
      <c r="AL4" s="22"/>
      <c r="AM4" s="23"/>
      <c r="AN4" s="26">
        <v>1226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435</v>
      </c>
      <c r="F5" s="22"/>
      <c r="G5" s="22"/>
      <c r="H5" s="22"/>
      <c r="I5" s="23"/>
      <c r="J5" s="32">
        <f t="shared" si="0"/>
        <v>0.54375000000000007</v>
      </c>
      <c r="K5" s="22"/>
      <c r="L5" s="22"/>
      <c r="M5" s="22"/>
      <c r="N5" s="23"/>
      <c r="O5" s="32">
        <v>1026</v>
      </c>
      <c r="P5" s="22"/>
      <c r="Q5" s="22"/>
      <c r="R5" s="22"/>
      <c r="S5" s="23"/>
      <c r="T5" s="36">
        <v>435</v>
      </c>
      <c r="U5" s="22"/>
      <c r="V5" s="22"/>
      <c r="W5" s="22"/>
      <c r="X5" s="23"/>
      <c r="Y5" s="24">
        <f t="shared" si="1"/>
        <v>0.57985500000000001</v>
      </c>
      <c r="Z5" s="22"/>
      <c r="AA5" s="22"/>
      <c r="AB5" s="22"/>
      <c r="AC5" s="23"/>
      <c r="AD5" s="24">
        <v>1120</v>
      </c>
      <c r="AE5" s="22"/>
      <c r="AF5" s="22"/>
      <c r="AG5" s="22"/>
      <c r="AH5" s="23"/>
      <c r="AI5" s="26">
        <v>1147</v>
      </c>
      <c r="AJ5" s="22"/>
      <c r="AK5" s="22"/>
      <c r="AL5" s="22"/>
      <c r="AM5" s="23"/>
      <c r="AN5" s="26">
        <v>1227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470</v>
      </c>
      <c r="F6" s="22"/>
      <c r="G6" s="22"/>
      <c r="H6" s="22"/>
      <c r="I6" s="23"/>
      <c r="J6" s="32">
        <f t="shared" si="0"/>
        <v>0.58750000000000002</v>
      </c>
      <c r="K6" s="22"/>
      <c r="L6" s="22"/>
      <c r="M6" s="22"/>
      <c r="N6" s="23"/>
      <c r="O6" s="32">
        <v>1027</v>
      </c>
      <c r="P6" s="22"/>
      <c r="Q6" s="22"/>
      <c r="R6" s="22"/>
      <c r="S6" s="23"/>
      <c r="T6" s="24">
        <v>470</v>
      </c>
      <c r="U6" s="22"/>
      <c r="V6" s="22"/>
      <c r="W6" s="22"/>
      <c r="X6" s="23"/>
      <c r="Y6" s="24">
        <f t="shared" si="1"/>
        <v>0.62651000000000001</v>
      </c>
      <c r="Z6" s="22"/>
      <c r="AA6" s="22"/>
      <c r="AB6" s="22"/>
      <c r="AC6" s="23"/>
      <c r="AD6" s="24">
        <v>1120</v>
      </c>
      <c r="AE6" s="22"/>
      <c r="AF6" s="22"/>
      <c r="AG6" s="22"/>
      <c r="AH6" s="23"/>
      <c r="AI6" s="26">
        <v>1148</v>
      </c>
      <c r="AJ6" s="22"/>
      <c r="AK6" s="22"/>
      <c r="AL6" s="22"/>
      <c r="AM6" s="23"/>
      <c r="AN6" s="26">
        <v>1228</v>
      </c>
      <c r="AO6" s="22"/>
      <c r="AP6" s="22"/>
      <c r="AQ6" s="22"/>
      <c r="AR6" s="23"/>
      <c r="AS6" s="26"/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426</v>
      </c>
      <c r="F7" s="22"/>
      <c r="G7" s="22"/>
      <c r="H7" s="22"/>
      <c r="I7" s="23"/>
      <c r="J7" s="32">
        <f t="shared" si="0"/>
        <v>0.53249999999999997</v>
      </c>
      <c r="K7" s="22"/>
      <c r="L7" s="22"/>
      <c r="M7" s="22"/>
      <c r="N7" s="23"/>
      <c r="O7" s="32">
        <v>1347</v>
      </c>
      <c r="P7" s="22"/>
      <c r="Q7" s="22"/>
      <c r="R7" s="22"/>
      <c r="S7" s="23"/>
      <c r="T7" s="24">
        <v>426</v>
      </c>
      <c r="U7" s="22"/>
      <c r="V7" s="22"/>
      <c r="W7" s="22"/>
      <c r="X7" s="23"/>
      <c r="Y7" s="24">
        <f t="shared" si="1"/>
        <v>0.56785799999999997</v>
      </c>
      <c r="Z7" s="22"/>
      <c r="AA7" s="22"/>
      <c r="AB7" s="22"/>
      <c r="AC7" s="23"/>
      <c r="AD7" s="24">
        <v>1432</v>
      </c>
      <c r="AE7" s="22"/>
      <c r="AF7" s="22"/>
      <c r="AG7" s="22"/>
      <c r="AH7" s="23"/>
      <c r="AI7" s="26">
        <v>1456</v>
      </c>
      <c r="AJ7" s="22"/>
      <c r="AK7" s="22"/>
      <c r="AL7" s="22"/>
      <c r="AM7" s="23"/>
      <c r="AN7" s="26">
        <v>1536</v>
      </c>
      <c r="AO7" s="22"/>
      <c r="AP7" s="22"/>
      <c r="AQ7" s="22"/>
      <c r="AR7" s="23"/>
      <c r="AS7" s="26"/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443</v>
      </c>
      <c r="F8" s="22"/>
      <c r="G8" s="22"/>
      <c r="H8" s="22"/>
      <c r="I8" s="23"/>
      <c r="J8" s="32">
        <f t="shared" si="0"/>
        <v>0.55374999999999996</v>
      </c>
      <c r="K8" s="22"/>
      <c r="L8" s="22"/>
      <c r="M8" s="22"/>
      <c r="N8" s="23"/>
      <c r="O8" s="32">
        <v>1350</v>
      </c>
      <c r="P8" s="22"/>
      <c r="Q8" s="22"/>
      <c r="R8" s="22"/>
      <c r="S8" s="23"/>
      <c r="T8" s="24">
        <v>443</v>
      </c>
      <c r="U8" s="22"/>
      <c r="V8" s="22"/>
      <c r="W8" s="22"/>
      <c r="X8" s="23"/>
      <c r="Y8" s="24">
        <f t="shared" si="1"/>
        <v>0.59051900000000002</v>
      </c>
      <c r="Z8" s="22"/>
      <c r="AA8" s="22"/>
      <c r="AB8" s="22"/>
      <c r="AC8" s="23"/>
      <c r="AD8" s="24">
        <v>1433</v>
      </c>
      <c r="AE8" s="22"/>
      <c r="AF8" s="22"/>
      <c r="AG8" s="22"/>
      <c r="AH8" s="23"/>
      <c r="AI8" s="26">
        <v>1457</v>
      </c>
      <c r="AJ8" s="22"/>
      <c r="AK8" s="22"/>
      <c r="AL8" s="22"/>
      <c r="AM8" s="23"/>
      <c r="AN8" s="26">
        <v>1537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283</v>
      </c>
      <c r="F9" s="22"/>
      <c r="G9" s="22"/>
      <c r="H9" s="22"/>
      <c r="I9" s="23"/>
      <c r="J9" s="32">
        <f t="shared" si="0"/>
        <v>0.35375000000000001</v>
      </c>
      <c r="K9" s="22"/>
      <c r="L9" s="22"/>
      <c r="M9" s="22"/>
      <c r="N9" s="23"/>
      <c r="O9" s="32">
        <v>1351</v>
      </c>
      <c r="P9" s="22"/>
      <c r="Q9" s="22"/>
      <c r="R9" s="22"/>
      <c r="S9" s="23"/>
      <c r="T9" s="24">
        <v>283</v>
      </c>
      <c r="U9" s="22"/>
      <c r="V9" s="22"/>
      <c r="W9" s="22"/>
      <c r="X9" s="23"/>
      <c r="Y9" s="24">
        <f t="shared" si="1"/>
        <v>0.37723899999999999</v>
      </c>
      <c r="Z9" s="22"/>
      <c r="AA9" s="22"/>
      <c r="AB9" s="22"/>
      <c r="AC9" s="23"/>
      <c r="AD9" s="24">
        <v>1434</v>
      </c>
      <c r="AE9" s="22"/>
      <c r="AF9" s="22"/>
      <c r="AG9" s="22"/>
      <c r="AH9" s="23"/>
      <c r="AI9" s="26">
        <v>1458</v>
      </c>
      <c r="AJ9" s="22"/>
      <c r="AK9" s="22"/>
      <c r="AL9" s="22"/>
      <c r="AM9" s="23"/>
      <c r="AN9" s="26">
        <v>1538</v>
      </c>
      <c r="AO9" s="22"/>
      <c r="AP9" s="22"/>
      <c r="AQ9" s="22"/>
      <c r="AR9" s="23"/>
      <c r="AS9" s="26"/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440</v>
      </c>
      <c r="F10" s="22"/>
      <c r="G10" s="22"/>
      <c r="H10" s="22"/>
      <c r="I10" s="23"/>
      <c r="J10" s="32">
        <f t="shared" si="0"/>
        <v>0.55000000000000004</v>
      </c>
      <c r="K10" s="22"/>
      <c r="L10" s="22"/>
      <c r="M10" s="22"/>
      <c r="N10" s="23"/>
      <c r="O10" s="32">
        <v>1151</v>
      </c>
      <c r="P10" s="22"/>
      <c r="Q10" s="22"/>
      <c r="R10" s="22"/>
      <c r="S10" s="23"/>
      <c r="T10" s="24">
        <v>440</v>
      </c>
      <c r="U10" s="22"/>
      <c r="V10" s="22"/>
      <c r="W10" s="22"/>
      <c r="X10" s="23"/>
      <c r="Y10" s="24">
        <f t="shared" si="1"/>
        <v>0.58652000000000004</v>
      </c>
      <c r="Z10" s="22"/>
      <c r="AA10" s="22"/>
      <c r="AB10" s="22"/>
      <c r="AC10" s="23"/>
      <c r="AD10" s="24">
        <v>1224</v>
      </c>
      <c r="AE10" s="22"/>
      <c r="AF10" s="22"/>
      <c r="AG10" s="22"/>
      <c r="AH10" s="23"/>
      <c r="AI10" s="26">
        <v>1249</v>
      </c>
      <c r="AJ10" s="22"/>
      <c r="AK10" s="22"/>
      <c r="AL10" s="22"/>
      <c r="AM10" s="23"/>
      <c r="AN10" s="26">
        <v>1329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443</v>
      </c>
      <c r="F11" s="22"/>
      <c r="G11" s="22"/>
      <c r="H11" s="22"/>
      <c r="I11" s="23"/>
      <c r="J11" s="32">
        <f t="shared" si="0"/>
        <v>0.55374999999999996</v>
      </c>
      <c r="K11" s="22"/>
      <c r="L11" s="22"/>
      <c r="M11" s="22"/>
      <c r="N11" s="23"/>
      <c r="O11" s="32">
        <v>1152</v>
      </c>
      <c r="P11" s="22"/>
      <c r="Q11" s="22"/>
      <c r="R11" s="22"/>
      <c r="S11" s="23"/>
      <c r="T11" s="36">
        <v>443</v>
      </c>
      <c r="U11" s="22"/>
      <c r="V11" s="22"/>
      <c r="W11" s="22"/>
      <c r="X11" s="23"/>
      <c r="Y11" s="24">
        <f t="shared" si="1"/>
        <v>0.59051900000000002</v>
      </c>
      <c r="Z11" s="22"/>
      <c r="AA11" s="22"/>
      <c r="AB11" s="22"/>
      <c r="AC11" s="23"/>
      <c r="AD11" s="24">
        <v>1225</v>
      </c>
      <c r="AE11" s="22"/>
      <c r="AF11" s="22"/>
      <c r="AG11" s="22"/>
      <c r="AH11" s="23"/>
      <c r="AI11" s="26">
        <v>1250</v>
      </c>
      <c r="AJ11" s="22"/>
      <c r="AK11" s="22"/>
      <c r="AL11" s="22"/>
      <c r="AM11" s="23"/>
      <c r="AN11" s="26">
        <v>1330</v>
      </c>
      <c r="AO11" s="22"/>
      <c r="AP11" s="22"/>
      <c r="AQ11" s="22"/>
      <c r="AR11" s="23"/>
      <c r="AS11" s="26"/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447</v>
      </c>
      <c r="F12" s="22"/>
      <c r="G12" s="22"/>
      <c r="H12" s="22"/>
      <c r="I12" s="23"/>
      <c r="J12" s="32">
        <f t="shared" si="0"/>
        <v>0.55874999999999997</v>
      </c>
      <c r="K12" s="22"/>
      <c r="L12" s="22"/>
      <c r="M12" s="22"/>
      <c r="N12" s="23"/>
      <c r="O12" s="32">
        <v>1154</v>
      </c>
      <c r="P12" s="22"/>
      <c r="Q12" s="22"/>
      <c r="R12" s="22"/>
      <c r="S12" s="23"/>
      <c r="T12" s="36">
        <v>447</v>
      </c>
      <c r="U12" s="22"/>
      <c r="V12" s="22"/>
      <c r="W12" s="22"/>
      <c r="X12" s="23"/>
      <c r="Y12" s="24">
        <f t="shared" si="1"/>
        <v>0.59585100000000002</v>
      </c>
      <c r="Z12" s="22"/>
      <c r="AA12" s="22"/>
      <c r="AB12" s="22"/>
      <c r="AC12" s="23"/>
      <c r="AD12" s="24">
        <v>1226</v>
      </c>
      <c r="AE12" s="22"/>
      <c r="AF12" s="22"/>
      <c r="AG12" s="22"/>
      <c r="AH12" s="23"/>
      <c r="AI12" s="26">
        <v>1251</v>
      </c>
      <c r="AJ12" s="22"/>
      <c r="AK12" s="22"/>
      <c r="AL12" s="22"/>
      <c r="AM12" s="23"/>
      <c r="AN12" s="26">
        <v>1331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500</v>
      </c>
      <c r="F13" s="22"/>
      <c r="G13" s="22"/>
      <c r="H13" s="22"/>
      <c r="I13" s="23"/>
      <c r="J13" s="32">
        <f t="shared" si="0"/>
        <v>0.625</v>
      </c>
      <c r="K13" s="22"/>
      <c r="L13" s="22"/>
      <c r="M13" s="22"/>
      <c r="N13" s="23"/>
      <c r="O13" s="32">
        <v>1201</v>
      </c>
      <c r="P13" s="22"/>
      <c r="Q13" s="22"/>
      <c r="R13" s="22"/>
      <c r="S13" s="23"/>
      <c r="T13" s="36">
        <v>500</v>
      </c>
      <c r="U13" s="22"/>
      <c r="V13" s="22"/>
      <c r="W13" s="22"/>
      <c r="X13" s="23"/>
      <c r="Y13" s="24">
        <f t="shared" si="1"/>
        <v>0.66649999999999998</v>
      </c>
      <c r="Z13" s="22"/>
      <c r="AA13" s="22"/>
      <c r="AB13" s="22"/>
      <c r="AC13" s="23"/>
      <c r="AD13" s="24">
        <v>1228</v>
      </c>
      <c r="AE13" s="22"/>
      <c r="AF13" s="22"/>
      <c r="AG13" s="22"/>
      <c r="AH13" s="23"/>
      <c r="AI13" s="26">
        <v>1252</v>
      </c>
      <c r="AJ13" s="22"/>
      <c r="AK13" s="22"/>
      <c r="AL13" s="22"/>
      <c r="AM13" s="23"/>
      <c r="AN13" s="26">
        <v>1332</v>
      </c>
      <c r="AO13" s="22"/>
      <c r="AP13" s="22"/>
      <c r="AQ13" s="22"/>
      <c r="AR13" s="23"/>
      <c r="AS13" s="26"/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300</v>
      </c>
      <c r="F14" s="22"/>
      <c r="G14" s="22"/>
      <c r="H14" s="22"/>
      <c r="I14" s="23"/>
      <c r="J14" s="32">
        <f t="shared" si="0"/>
        <v>0.375</v>
      </c>
      <c r="K14" s="22"/>
      <c r="L14" s="22"/>
      <c r="M14" s="22"/>
      <c r="N14" s="23"/>
      <c r="O14" s="32">
        <v>1203</v>
      </c>
      <c r="P14" s="22"/>
      <c r="Q14" s="22"/>
      <c r="R14" s="22"/>
      <c r="S14" s="23"/>
      <c r="T14" s="24">
        <v>300</v>
      </c>
      <c r="U14" s="22"/>
      <c r="V14" s="22"/>
      <c r="W14" s="22"/>
      <c r="X14" s="23"/>
      <c r="Y14" s="24">
        <f t="shared" si="1"/>
        <v>0.39989999999999998</v>
      </c>
      <c r="Z14" s="22"/>
      <c r="AA14" s="22"/>
      <c r="AB14" s="22"/>
      <c r="AC14" s="23"/>
      <c r="AD14" s="24">
        <v>1229</v>
      </c>
      <c r="AE14" s="22"/>
      <c r="AF14" s="22"/>
      <c r="AG14" s="22"/>
      <c r="AH14" s="23"/>
      <c r="AI14" s="26">
        <v>1253</v>
      </c>
      <c r="AJ14" s="22"/>
      <c r="AK14" s="22"/>
      <c r="AL14" s="22"/>
      <c r="AM14" s="23"/>
      <c r="AN14" s="26">
        <v>1333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277</v>
      </c>
      <c r="F15" s="22"/>
      <c r="G15" s="22"/>
      <c r="H15" s="22"/>
      <c r="I15" s="23"/>
      <c r="J15" s="32">
        <f t="shared" si="0"/>
        <v>0.34625</v>
      </c>
      <c r="K15" s="22"/>
      <c r="L15" s="22"/>
      <c r="M15" s="22"/>
      <c r="N15" s="23"/>
      <c r="O15" s="32">
        <v>1353</v>
      </c>
      <c r="P15" s="22"/>
      <c r="Q15" s="22"/>
      <c r="R15" s="22"/>
      <c r="S15" s="23"/>
      <c r="T15" s="24">
        <v>277</v>
      </c>
      <c r="U15" s="22"/>
      <c r="V15" s="22"/>
      <c r="W15" s="22"/>
      <c r="X15" s="23"/>
      <c r="Y15" s="24">
        <f t="shared" si="1"/>
        <v>0.36924099999999999</v>
      </c>
      <c r="Z15" s="22"/>
      <c r="AA15" s="22"/>
      <c r="AB15" s="22"/>
      <c r="AC15" s="23"/>
      <c r="AD15" s="24">
        <v>1437</v>
      </c>
      <c r="AE15" s="22"/>
      <c r="AF15" s="22"/>
      <c r="AG15" s="22"/>
      <c r="AH15" s="23"/>
      <c r="AI15" s="26">
        <v>1459</v>
      </c>
      <c r="AJ15" s="22"/>
      <c r="AK15" s="22"/>
      <c r="AL15" s="22"/>
      <c r="AM15" s="23"/>
      <c r="AN15" s="26">
        <v>1539</v>
      </c>
      <c r="AO15" s="22"/>
      <c r="AP15" s="22"/>
      <c r="AQ15" s="22"/>
      <c r="AR15" s="23"/>
      <c r="AS15" s="26"/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444</v>
      </c>
      <c r="F16" s="22"/>
      <c r="G16" s="22"/>
      <c r="H16" s="22"/>
      <c r="I16" s="23"/>
      <c r="J16" s="32">
        <f t="shared" si="0"/>
        <v>0.55500000000000005</v>
      </c>
      <c r="K16" s="22"/>
      <c r="L16" s="22"/>
      <c r="M16" s="22"/>
      <c r="N16" s="23"/>
      <c r="O16" s="32">
        <v>1354</v>
      </c>
      <c r="P16" s="22"/>
      <c r="Q16" s="22"/>
      <c r="R16" s="22"/>
      <c r="S16" s="23"/>
      <c r="T16" s="24">
        <v>444</v>
      </c>
      <c r="U16" s="22"/>
      <c r="V16" s="22"/>
      <c r="W16" s="22"/>
      <c r="X16" s="23"/>
      <c r="Y16" s="24">
        <f t="shared" si="1"/>
        <v>0.59185200000000004</v>
      </c>
      <c r="Z16" s="22"/>
      <c r="AA16" s="22"/>
      <c r="AB16" s="22"/>
      <c r="AC16" s="23"/>
      <c r="AD16" s="24">
        <v>1439</v>
      </c>
      <c r="AE16" s="22"/>
      <c r="AF16" s="22"/>
      <c r="AG16" s="22"/>
      <c r="AH16" s="23"/>
      <c r="AI16" s="26">
        <v>1500</v>
      </c>
      <c r="AJ16" s="22"/>
      <c r="AK16" s="22"/>
      <c r="AL16" s="22"/>
      <c r="AM16" s="23"/>
      <c r="AN16" s="26">
        <v>1540</v>
      </c>
      <c r="AO16" s="22"/>
      <c r="AP16" s="22"/>
      <c r="AQ16" s="22"/>
      <c r="AR16" s="23"/>
      <c r="AS16" s="26"/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230</v>
      </c>
      <c r="F17" s="22"/>
      <c r="G17" s="22"/>
      <c r="H17" s="22"/>
      <c r="I17" s="23"/>
      <c r="J17" s="32">
        <f t="shared" si="0"/>
        <v>0.28750000000000003</v>
      </c>
      <c r="K17" s="22"/>
      <c r="L17" s="22"/>
      <c r="M17" s="22"/>
      <c r="N17" s="23"/>
      <c r="O17" s="32">
        <v>1557</v>
      </c>
      <c r="P17" s="22"/>
      <c r="Q17" s="22"/>
      <c r="R17" s="22"/>
      <c r="S17" s="23"/>
      <c r="T17" s="24">
        <v>230</v>
      </c>
      <c r="U17" s="22"/>
      <c r="V17" s="22"/>
      <c r="W17" s="22"/>
      <c r="X17" s="23"/>
      <c r="Y17" s="24">
        <f t="shared" si="1"/>
        <v>0.30658999999999997</v>
      </c>
      <c r="Z17" s="22"/>
      <c r="AA17" s="22"/>
      <c r="AB17" s="22"/>
      <c r="AC17" s="23"/>
      <c r="AD17" s="24">
        <v>1619</v>
      </c>
      <c r="AE17" s="22"/>
      <c r="AF17" s="22"/>
      <c r="AG17" s="22"/>
      <c r="AH17" s="23"/>
      <c r="AI17" s="26">
        <v>1634</v>
      </c>
      <c r="AJ17" s="22"/>
      <c r="AK17" s="22"/>
      <c r="AL17" s="22"/>
      <c r="AM17" s="23"/>
      <c r="AN17" s="26">
        <v>1713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/>
      <c r="F18" s="22"/>
      <c r="G18" s="22"/>
      <c r="H18" s="22"/>
      <c r="I18" s="23"/>
      <c r="J18" s="32">
        <f t="shared" ref="J18:J25" si="2">E18*0.0012</f>
        <v>0</v>
      </c>
      <c r="K18" s="22"/>
      <c r="L18" s="22"/>
      <c r="M18" s="22"/>
      <c r="N18" s="23"/>
      <c r="O18" s="31"/>
      <c r="P18" s="22"/>
      <c r="Q18" s="22"/>
      <c r="R18" s="22"/>
      <c r="S18" s="23"/>
      <c r="T18" s="25"/>
      <c r="U18" s="22"/>
      <c r="V18" s="22"/>
      <c r="W18" s="22"/>
      <c r="X18" s="23"/>
      <c r="Y18" s="24">
        <f t="shared" si="1"/>
        <v>0</v>
      </c>
      <c r="Z18" s="22"/>
      <c r="AA18" s="22"/>
      <c r="AB18" s="22"/>
      <c r="AC18" s="23"/>
      <c r="AD18" s="25"/>
      <c r="AE18" s="22"/>
      <c r="AF18" s="22"/>
      <c r="AG18" s="22"/>
      <c r="AH18" s="23"/>
      <c r="AI18" s="26"/>
      <c r="AJ18" s="22"/>
      <c r="AK18" s="22"/>
      <c r="AL18" s="22"/>
      <c r="AM18" s="23"/>
      <c r="AN18" s="26"/>
      <c r="AO18" s="22"/>
      <c r="AP18" s="22"/>
      <c r="AQ18" s="22"/>
      <c r="AR18" s="23"/>
      <c r="AS18" s="38" t="s">
        <v>97</v>
      </c>
      <c r="AT18" s="39"/>
      <c r="AU18" s="39"/>
      <c r="AV18" s="39"/>
      <c r="AW18" s="40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/>
      <c r="F19" s="22"/>
      <c r="G19" s="22"/>
      <c r="H19" s="22"/>
      <c r="I19" s="23"/>
      <c r="J19" s="32">
        <f t="shared" si="2"/>
        <v>0</v>
      </c>
      <c r="K19" s="22"/>
      <c r="L19" s="22"/>
      <c r="M19" s="22"/>
      <c r="N19" s="23"/>
      <c r="O19" s="31"/>
      <c r="P19" s="22"/>
      <c r="Q19" s="22"/>
      <c r="R19" s="22"/>
      <c r="S19" s="23"/>
      <c r="T19" s="25"/>
      <c r="U19" s="22"/>
      <c r="V19" s="22"/>
      <c r="W19" s="22"/>
      <c r="X19" s="23"/>
      <c r="Y19" s="24">
        <f t="shared" si="1"/>
        <v>0</v>
      </c>
      <c r="Z19" s="22"/>
      <c r="AA19" s="22"/>
      <c r="AB19" s="22"/>
      <c r="AC19" s="23"/>
      <c r="AD19" s="25"/>
      <c r="AE19" s="22"/>
      <c r="AF19" s="22"/>
      <c r="AG19" s="22"/>
      <c r="AH19" s="23"/>
      <c r="AI19" s="26"/>
      <c r="AJ19" s="22"/>
      <c r="AK19" s="22"/>
      <c r="AL19" s="22"/>
      <c r="AM19" s="23"/>
      <c r="AN19" s="26"/>
      <c r="AO19" s="22"/>
      <c r="AP19" s="22"/>
      <c r="AQ19" s="22"/>
      <c r="AR19" s="23"/>
      <c r="AS19" s="38" t="s">
        <v>97</v>
      </c>
      <c r="AT19" s="39"/>
      <c r="AU19" s="39"/>
      <c r="AV19" s="39"/>
      <c r="AW19" s="40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/>
      <c r="F20" s="22"/>
      <c r="G20" s="22"/>
      <c r="H20" s="22"/>
      <c r="I20" s="23"/>
      <c r="J20" s="32">
        <f t="shared" si="2"/>
        <v>0</v>
      </c>
      <c r="K20" s="22"/>
      <c r="L20" s="22"/>
      <c r="M20" s="22"/>
      <c r="N20" s="23"/>
      <c r="O20" s="31"/>
      <c r="P20" s="22"/>
      <c r="Q20" s="22"/>
      <c r="R20" s="22"/>
      <c r="S20" s="23"/>
      <c r="T20" s="25"/>
      <c r="U20" s="22"/>
      <c r="V20" s="22"/>
      <c r="W20" s="22"/>
      <c r="X20" s="23"/>
      <c r="Y20" s="24">
        <f t="shared" si="1"/>
        <v>0</v>
      </c>
      <c r="Z20" s="22"/>
      <c r="AA20" s="22"/>
      <c r="AB20" s="22"/>
      <c r="AC20" s="23"/>
      <c r="AD20" s="25"/>
      <c r="AE20" s="22"/>
      <c r="AF20" s="22"/>
      <c r="AG20" s="22"/>
      <c r="AH20" s="23"/>
      <c r="AI20" s="26"/>
      <c r="AJ20" s="22"/>
      <c r="AK20" s="22"/>
      <c r="AL20" s="22"/>
      <c r="AM20" s="23"/>
      <c r="AN20" s="26"/>
      <c r="AO20" s="22"/>
      <c r="AP20" s="22"/>
      <c r="AQ20" s="22"/>
      <c r="AR20" s="23"/>
      <c r="AS20" s="38" t="s">
        <v>97</v>
      </c>
      <c r="AT20" s="39"/>
      <c r="AU20" s="39"/>
      <c r="AV20" s="39"/>
      <c r="AW20" s="40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/>
      <c r="F21" s="22"/>
      <c r="G21" s="22"/>
      <c r="H21" s="22"/>
      <c r="I21" s="23"/>
      <c r="J21" s="32">
        <f t="shared" si="2"/>
        <v>0</v>
      </c>
      <c r="K21" s="22"/>
      <c r="L21" s="22"/>
      <c r="M21" s="22"/>
      <c r="N21" s="23"/>
      <c r="O21" s="31"/>
      <c r="P21" s="22"/>
      <c r="Q21" s="22"/>
      <c r="R21" s="22"/>
      <c r="S21" s="23"/>
      <c r="T21" s="25"/>
      <c r="U21" s="22"/>
      <c r="V21" s="22"/>
      <c r="W21" s="22"/>
      <c r="X21" s="23"/>
      <c r="Y21" s="24">
        <f t="shared" si="1"/>
        <v>0</v>
      </c>
      <c r="Z21" s="22"/>
      <c r="AA21" s="22"/>
      <c r="AB21" s="22"/>
      <c r="AC21" s="23"/>
      <c r="AD21" s="25"/>
      <c r="AE21" s="22"/>
      <c r="AF21" s="22"/>
      <c r="AG21" s="22"/>
      <c r="AH21" s="23"/>
      <c r="AI21" s="26"/>
      <c r="AJ21" s="22"/>
      <c r="AK21" s="22"/>
      <c r="AL21" s="22"/>
      <c r="AM21" s="23"/>
      <c r="AN21" s="26"/>
      <c r="AO21" s="22"/>
      <c r="AP21" s="22"/>
      <c r="AQ21" s="22"/>
      <c r="AR21" s="23"/>
      <c r="AS21" s="38" t="s">
        <v>97</v>
      </c>
      <c r="AT21" s="39"/>
      <c r="AU21" s="39"/>
      <c r="AV21" s="39"/>
      <c r="AW21" s="40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/>
      <c r="F22" s="22"/>
      <c r="G22" s="22"/>
      <c r="H22" s="22"/>
      <c r="I22" s="23"/>
      <c r="J22" s="32">
        <f t="shared" si="2"/>
        <v>0</v>
      </c>
      <c r="K22" s="22"/>
      <c r="L22" s="22"/>
      <c r="M22" s="22"/>
      <c r="N22" s="23"/>
      <c r="O22" s="31"/>
      <c r="P22" s="22"/>
      <c r="Q22" s="22"/>
      <c r="R22" s="22"/>
      <c r="S22" s="23"/>
      <c r="T22" s="25"/>
      <c r="U22" s="22"/>
      <c r="V22" s="22"/>
      <c r="W22" s="22"/>
      <c r="X22" s="23"/>
      <c r="Y22" s="24">
        <f t="shared" si="1"/>
        <v>0</v>
      </c>
      <c r="Z22" s="22"/>
      <c r="AA22" s="22"/>
      <c r="AB22" s="22"/>
      <c r="AC22" s="23"/>
      <c r="AD22" s="25"/>
      <c r="AE22" s="22"/>
      <c r="AF22" s="22"/>
      <c r="AG22" s="22"/>
      <c r="AH22" s="23"/>
      <c r="AI22" s="26"/>
      <c r="AJ22" s="22"/>
      <c r="AK22" s="22"/>
      <c r="AL22" s="22"/>
      <c r="AM22" s="23"/>
      <c r="AN22" s="26"/>
      <c r="AO22" s="22"/>
      <c r="AP22" s="22"/>
      <c r="AQ22" s="22"/>
      <c r="AR22" s="23"/>
      <c r="AS22" s="38" t="s">
        <v>97</v>
      </c>
      <c r="AT22" s="39"/>
      <c r="AU22" s="39"/>
      <c r="AV22" s="39"/>
      <c r="AW22" s="40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/>
      <c r="F23" s="22"/>
      <c r="G23" s="22"/>
      <c r="H23" s="22"/>
      <c r="I23" s="23"/>
      <c r="J23" s="32">
        <f t="shared" si="2"/>
        <v>0</v>
      </c>
      <c r="K23" s="22"/>
      <c r="L23" s="22"/>
      <c r="M23" s="22"/>
      <c r="N23" s="23"/>
      <c r="O23" s="31"/>
      <c r="P23" s="22"/>
      <c r="Q23" s="22"/>
      <c r="R23" s="22"/>
      <c r="S23" s="23"/>
      <c r="T23" s="25"/>
      <c r="U23" s="22"/>
      <c r="V23" s="22"/>
      <c r="W23" s="22"/>
      <c r="X23" s="23"/>
      <c r="Y23" s="24">
        <f t="shared" si="1"/>
        <v>0</v>
      </c>
      <c r="Z23" s="22"/>
      <c r="AA23" s="22"/>
      <c r="AB23" s="22"/>
      <c r="AC23" s="23"/>
      <c r="AD23" s="25"/>
      <c r="AE23" s="22"/>
      <c r="AF23" s="22"/>
      <c r="AG23" s="22"/>
      <c r="AH23" s="23"/>
      <c r="AI23" s="26"/>
      <c r="AJ23" s="22"/>
      <c r="AK23" s="22"/>
      <c r="AL23" s="22"/>
      <c r="AM23" s="23"/>
      <c r="AN23" s="26"/>
      <c r="AO23" s="22"/>
      <c r="AP23" s="22"/>
      <c r="AQ23" s="22"/>
      <c r="AR23" s="23"/>
      <c r="AS23" s="38" t="s">
        <v>97</v>
      </c>
      <c r="AT23" s="39"/>
      <c r="AU23" s="39"/>
      <c r="AV23" s="39"/>
      <c r="AW23" s="40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/>
      <c r="F24" s="22"/>
      <c r="G24" s="22"/>
      <c r="H24" s="22"/>
      <c r="I24" s="23"/>
      <c r="J24" s="32">
        <f t="shared" si="2"/>
        <v>0</v>
      </c>
      <c r="K24" s="22"/>
      <c r="L24" s="22"/>
      <c r="M24" s="22"/>
      <c r="N24" s="23"/>
      <c r="O24" s="31"/>
      <c r="P24" s="22"/>
      <c r="Q24" s="22"/>
      <c r="R24" s="22"/>
      <c r="S24" s="23"/>
      <c r="T24" s="25"/>
      <c r="U24" s="22"/>
      <c r="V24" s="22"/>
      <c r="W24" s="22"/>
      <c r="X24" s="23"/>
      <c r="Y24" s="24">
        <f t="shared" si="1"/>
        <v>0</v>
      </c>
      <c r="Z24" s="22"/>
      <c r="AA24" s="22"/>
      <c r="AB24" s="22"/>
      <c r="AC24" s="23"/>
      <c r="AD24" s="25"/>
      <c r="AE24" s="22"/>
      <c r="AF24" s="22"/>
      <c r="AG24" s="22"/>
      <c r="AH24" s="23"/>
      <c r="AI24" s="26"/>
      <c r="AJ24" s="22"/>
      <c r="AK24" s="22"/>
      <c r="AL24" s="22"/>
      <c r="AM24" s="23"/>
      <c r="AN24" s="26"/>
      <c r="AO24" s="22"/>
      <c r="AP24" s="22"/>
      <c r="AQ24" s="22"/>
      <c r="AR24" s="23"/>
      <c r="AS24" s="38" t="s">
        <v>97</v>
      </c>
      <c r="AT24" s="39"/>
      <c r="AU24" s="39"/>
      <c r="AV24" s="39"/>
      <c r="AW24" s="40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/>
      <c r="F25" s="22"/>
      <c r="G25" s="22"/>
      <c r="H25" s="22"/>
      <c r="I25" s="23"/>
      <c r="J25" s="32">
        <f t="shared" si="2"/>
        <v>0</v>
      </c>
      <c r="K25" s="22"/>
      <c r="L25" s="22"/>
      <c r="M25" s="22"/>
      <c r="N25" s="23"/>
      <c r="O25" s="31"/>
      <c r="P25" s="22"/>
      <c r="Q25" s="22"/>
      <c r="R25" s="22"/>
      <c r="S25" s="23"/>
      <c r="T25" s="25"/>
      <c r="U25" s="22"/>
      <c r="V25" s="22"/>
      <c r="W25" s="22"/>
      <c r="X25" s="23"/>
      <c r="Y25" s="24">
        <f t="shared" si="1"/>
        <v>0</v>
      </c>
      <c r="Z25" s="22"/>
      <c r="AA25" s="22"/>
      <c r="AB25" s="22"/>
      <c r="AC25" s="23"/>
      <c r="AD25" s="25"/>
      <c r="AE25" s="22"/>
      <c r="AF25" s="22"/>
      <c r="AG25" s="22"/>
      <c r="AH25" s="23"/>
      <c r="AI25" s="26"/>
      <c r="AJ25" s="22"/>
      <c r="AK25" s="22"/>
      <c r="AL25" s="22"/>
      <c r="AM25" s="23"/>
      <c r="AN25" s="26"/>
      <c r="AO25" s="22"/>
      <c r="AP25" s="22"/>
      <c r="AQ25" s="22"/>
      <c r="AR25" s="23"/>
      <c r="AS25" s="38" t="s">
        <v>97</v>
      </c>
      <c r="AT25" s="39"/>
      <c r="AU25" s="39"/>
      <c r="AV25" s="39"/>
      <c r="AW25" s="40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285</v>
      </c>
      <c r="F26" s="22"/>
      <c r="G26" s="22"/>
      <c r="H26" s="22"/>
      <c r="I26" s="23"/>
      <c r="J26" s="32">
        <f t="shared" ref="J26:J39" si="3">E26*0.00125</f>
        <v>0.35625000000000001</v>
      </c>
      <c r="K26" s="22"/>
      <c r="L26" s="22"/>
      <c r="M26" s="22"/>
      <c r="N26" s="23"/>
      <c r="O26" s="31">
        <v>723</v>
      </c>
      <c r="P26" s="22"/>
      <c r="Q26" s="22"/>
      <c r="R26" s="22"/>
      <c r="S26" s="23"/>
      <c r="T26" s="25">
        <v>285</v>
      </c>
      <c r="U26" s="22"/>
      <c r="V26" s="22"/>
      <c r="W26" s="22"/>
      <c r="X26" s="23"/>
      <c r="Y26" s="24">
        <f t="shared" si="1"/>
        <v>0.37990499999999999</v>
      </c>
      <c r="Z26" s="22"/>
      <c r="AA26" s="22"/>
      <c r="AB26" s="22"/>
      <c r="AC26" s="23"/>
      <c r="AD26" s="37"/>
      <c r="AE26" s="22"/>
      <c r="AF26" s="22"/>
      <c r="AG26" s="22"/>
      <c r="AH26" s="23"/>
      <c r="AI26" s="21">
        <v>854</v>
      </c>
      <c r="AJ26" s="22"/>
      <c r="AK26" s="22"/>
      <c r="AL26" s="22"/>
      <c r="AM26" s="23"/>
      <c r="AN26" s="21">
        <v>934</v>
      </c>
      <c r="AO26" s="22"/>
      <c r="AP26" s="22"/>
      <c r="AQ26" s="22"/>
      <c r="AR26" s="23"/>
      <c r="AS26" s="30" t="s">
        <v>98</v>
      </c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277</v>
      </c>
      <c r="F27" s="22"/>
      <c r="G27" s="22"/>
      <c r="H27" s="22"/>
      <c r="I27" s="23"/>
      <c r="J27" s="32">
        <f t="shared" si="3"/>
        <v>0.34625</v>
      </c>
      <c r="K27" s="22"/>
      <c r="L27" s="22"/>
      <c r="M27" s="22"/>
      <c r="N27" s="23"/>
      <c r="O27" s="31">
        <v>725</v>
      </c>
      <c r="P27" s="22"/>
      <c r="Q27" s="22"/>
      <c r="R27" s="22"/>
      <c r="S27" s="23"/>
      <c r="T27" s="34">
        <v>277</v>
      </c>
      <c r="U27" s="22"/>
      <c r="V27" s="22"/>
      <c r="W27" s="22"/>
      <c r="X27" s="23"/>
      <c r="Y27" s="24">
        <f t="shared" si="1"/>
        <v>0.36924099999999999</v>
      </c>
      <c r="Z27" s="22"/>
      <c r="AA27" s="22"/>
      <c r="AB27" s="22"/>
      <c r="AC27" s="23"/>
      <c r="AD27" s="25"/>
      <c r="AE27" s="22"/>
      <c r="AF27" s="22"/>
      <c r="AG27" s="22"/>
      <c r="AH27" s="23"/>
      <c r="AI27" s="21">
        <v>855</v>
      </c>
      <c r="AJ27" s="22"/>
      <c r="AK27" s="22"/>
      <c r="AL27" s="22"/>
      <c r="AM27" s="23"/>
      <c r="AN27" s="21">
        <v>935</v>
      </c>
      <c r="AO27" s="22"/>
      <c r="AP27" s="22"/>
      <c r="AQ27" s="22"/>
      <c r="AR27" s="23"/>
      <c r="AS27" s="30" t="s">
        <v>98</v>
      </c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268</v>
      </c>
      <c r="F28" s="22"/>
      <c r="G28" s="22"/>
      <c r="H28" s="22"/>
      <c r="I28" s="23"/>
      <c r="J28" s="32">
        <f t="shared" si="3"/>
        <v>0.33500000000000002</v>
      </c>
      <c r="K28" s="22"/>
      <c r="L28" s="22"/>
      <c r="M28" s="22"/>
      <c r="N28" s="23"/>
      <c r="O28" s="31">
        <v>727</v>
      </c>
      <c r="P28" s="22"/>
      <c r="Q28" s="22"/>
      <c r="R28" s="22"/>
      <c r="S28" s="23"/>
      <c r="T28" s="34">
        <v>268</v>
      </c>
      <c r="U28" s="22"/>
      <c r="V28" s="22"/>
      <c r="W28" s="22"/>
      <c r="X28" s="23"/>
      <c r="Y28" s="24">
        <f t="shared" si="1"/>
        <v>0.35724400000000001</v>
      </c>
      <c r="Z28" s="22"/>
      <c r="AA28" s="22"/>
      <c r="AB28" s="22"/>
      <c r="AC28" s="23"/>
      <c r="AD28" s="25"/>
      <c r="AE28" s="22"/>
      <c r="AF28" s="22"/>
      <c r="AG28" s="22"/>
      <c r="AH28" s="23"/>
      <c r="AI28" s="21">
        <v>856</v>
      </c>
      <c r="AJ28" s="22"/>
      <c r="AK28" s="22"/>
      <c r="AL28" s="22"/>
      <c r="AM28" s="23"/>
      <c r="AN28" s="21">
        <v>936</v>
      </c>
      <c r="AO28" s="22"/>
      <c r="AP28" s="22"/>
      <c r="AQ28" s="22"/>
      <c r="AR28" s="23"/>
      <c r="AS28" s="30" t="s">
        <v>98</v>
      </c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265</v>
      </c>
      <c r="F29" s="22"/>
      <c r="G29" s="22"/>
      <c r="H29" s="22"/>
      <c r="I29" s="23"/>
      <c r="J29" s="32">
        <f t="shared" si="3"/>
        <v>0.33124999999999999</v>
      </c>
      <c r="K29" s="22"/>
      <c r="L29" s="22"/>
      <c r="M29" s="22"/>
      <c r="N29" s="23"/>
      <c r="O29" s="31">
        <v>728</v>
      </c>
      <c r="P29" s="22"/>
      <c r="Q29" s="22"/>
      <c r="R29" s="22"/>
      <c r="S29" s="23"/>
      <c r="T29" s="34">
        <v>265</v>
      </c>
      <c r="U29" s="22"/>
      <c r="V29" s="22"/>
      <c r="W29" s="22"/>
      <c r="X29" s="23"/>
      <c r="Y29" s="24">
        <f t="shared" si="1"/>
        <v>0.35324499999999998</v>
      </c>
      <c r="Z29" s="22"/>
      <c r="AA29" s="22"/>
      <c r="AB29" s="22"/>
      <c r="AC29" s="23"/>
      <c r="AD29" s="25"/>
      <c r="AE29" s="22"/>
      <c r="AF29" s="22"/>
      <c r="AG29" s="22"/>
      <c r="AH29" s="23"/>
      <c r="AI29" s="21">
        <v>857</v>
      </c>
      <c r="AJ29" s="22"/>
      <c r="AK29" s="22"/>
      <c r="AL29" s="22"/>
      <c r="AM29" s="23"/>
      <c r="AN29" s="21">
        <v>937</v>
      </c>
      <c r="AO29" s="22"/>
      <c r="AP29" s="22"/>
      <c r="AQ29" s="22"/>
      <c r="AR29" s="23"/>
      <c r="AS29" s="30" t="s">
        <v>98</v>
      </c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305</v>
      </c>
      <c r="F30" s="22"/>
      <c r="G30" s="22"/>
      <c r="H30" s="22"/>
      <c r="I30" s="23"/>
      <c r="J30" s="32">
        <f t="shared" si="3"/>
        <v>0.38125000000000003</v>
      </c>
      <c r="K30" s="22"/>
      <c r="L30" s="22"/>
      <c r="M30" s="22"/>
      <c r="N30" s="23"/>
      <c r="O30" s="31">
        <v>729</v>
      </c>
      <c r="P30" s="22"/>
      <c r="Q30" s="22"/>
      <c r="R30" s="22"/>
      <c r="S30" s="23"/>
      <c r="T30" s="25">
        <v>305</v>
      </c>
      <c r="U30" s="22"/>
      <c r="V30" s="22"/>
      <c r="W30" s="22"/>
      <c r="X30" s="23"/>
      <c r="Y30" s="24">
        <f t="shared" si="1"/>
        <v>0.40656500000000001</v>
      </c>
      <c r="Z30" s="22"/>
      <c r="AA30" s="22"/>
      <c r="AB30" s="22"/>
      <c r="AC30" s="23"/>
      <c r="AD30" s="25"/>
      <c r="AE30" s="22"/>
      <c r="AF30" s="22"/>
      <c r="AG30" s="22"/>
      <c r="AH30" s="23"/>
      <c r="AI30" s="21">
        <v>858</v>
      </c>
      <c r="AJ30" s="22"/>
      <c r="AK30" s="22"/>
      <c r="AL30" s="22"/>
      <c r="AM30" s="23"/>
      <c r="AN30" s="21">
        <v>938</v>
      </c>
      <c r="AO30" s="22"/>
      <c r="AP30" s="22"/>
      <c r="AQ30" s="22"/>
      <c r="AR30" s="23"/>
      <c r="AS30" s="30" t="s">
        <v>98</v>
      </c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284</v>
      </c>
      <c r="F31" s="22"/>
      <c r="G31" s="22"/>
      <c r="H31" s="22"/>
      <c r="I31" s="23"/>
      <c r="J31" s="32">
        <f t="shared" si="3"/>
        <v>0.35499999999999998</v>
      </c>
      <c r="K31" s="22"/>
      <c r="L31" s="22"/>
      <c r="M31" s="22"/>
      <c r="N31" s="23"/>
      <c r="O31" s="31">
        <v>1742</v>
      </c>
      <c r="P31" s="22"/>
      <c r="Q31" s="22"/>
      <c r="R31" s="22"/>
      <c r="S31" s="23"/>
      <c r="T31" s="25">
        <v>284</v>
      </c>
      <c r="U31" s="22"/>
      <c r="V31" s="22"/>
      <c r="W31" s="22"/>
      <c r="X31" s="23"/>
      <c r="Y31" s="24">
        <f t="shared" si="1"/>
        <v>0.37857200000000002</v>
      </c>
      <c r="Z31" s="22"/>
      <c r="AA31" s="22"/>
      <c r="AB31" s="22"/>
      <c r="AC31" s="23"/>
      <c r="AD31" s="25">
        <v>1802</v>
      </c>
      <c r="AE31" s="22"/>
      <c r="AF31" s="22"/>
      <c r="AG31" s="22"/>
      <c r="AH31" s="23"/>
      <c r="AI31" s="21">
        <v>1825</v>
      </c>
      <c r="AJ31" s="22"/>
      <c r="AK31" s="22"/>
      <c r="AL31" s="22"/>
      <c r="AM31" s="23"/>
      <c r="AN31" s="21">
        <v>1900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293</v>
      </c>
      <c r="F32" s="22"/>
      <c r="G32" s="22"/>
      <c r="H32" s="22"/>
      <c r="I32" s="23"/>
      <c r="J32" s="32">
        <f t="shared" si="3"/>
        <v>0.36625000000000002</v>
      </c>
      <c r="K32" s="22"/>
      <c r="L32" s="22"/>
      <c r="M32" s="22"/>
      <c r="N32" s="23"/>
      <c r="O32" s="31">
        <v>1742</v>
      </c>
      <c r="P32" s="22"/>
      <c r="Q32" s="22"/>
      <c r="R32" s="22"/>
      <c r="S32" s="23"/>
      <c r="T32" s="25">
        <v>293</v>
      </c>
      <c r="U32" s="22"/>
      <c r="V32" s="22"/>
      <c r="W32" s="22"/>
      <c r="X32" s="23"/>
      <c r="Y32" s="24">
        <f t="shared" si="1"/>
        <v>0.390569</v>
      </c>
      <c r="Z32" s="22"/>
      <c r="AA32" s="22"/>
      <c r="AB32" s="22"/>
      <c r="AC32" s="23"/>
      <c r="AD32" s="25">
        <v>1803</v>
      </c>
      <c r="AE32" s="22"/>
      <c r="AF32" s="22"/>
      <c r="AG32" s="22"/>
      <c r="AH32" s="23"/>
      <c r="AI32" s="21">
        <v>1826</v>
      </c>
      <c r="AJ32" s="22"/>
      <c r="AK32" s="22"/>
      <c r="AL32" s="22"/>
      <c r="AM32" s="23"/>
      <c r="AN32" s="21">
        <v>1901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410</v>
      </c>
      <c r="F33" s="22"/>
      <c r="G33" s="22"/>
      <c r="H33" s="22"/>
      <c r="I33" s="23"/>
      <c r="J33" s="32">
        <f t="shared" si="3"/>
        <v>0.51249999999999996</v>
      </c>
      <c r="K33" s="22"/>
      <c r="L33" s="22"/>
      <c r="M33" s="22"/>
      <c r="N33" s="23"/>
      <c r="O33" s="31">
        <v>1600</v>
      </c>
      <c r="P33" s="22"/>
      <c r="Q33" s="22"/>
      <c r="R33" s="22"/>
      <c r="S33" s="23"/>
      <c r="T33" s="25">
        <v>410</v>
      </c>
      <c r="U33" s="22"/>
      <c r="V33" s="22"/>
      <c r="W33" s="22"/>
      <c r="X33" s="23"/>
      <c r="Y33" s="24">
        <f t="shared" si="1"/>
        <v>0.54652999999999996</v>
      </c>
      <c r="Z33" s="22"/>
      <c r="AA33" s="22"/>
      <c r="AB33" s="22"/>
      <c r="AC33" s="23"/>
      <c r="AD33" s="25">
        <v>1620</v>
      </c>
      <c r="AE33" s="22"/>
      <c r="AF33" s="22"/>
      <c r="AG33" s="22"/>
      <c r="AH33" s="23"/>
      <c r="AI33" s="21">
        <v>1635</v>
      </c>
      <c r="AJ33" s="22"/>
      <c r="AK33" s="22"/>
      <c r="AL33" s="22"/>
      <c r="AM33" s="23"/>
      <c r="AN33" s="21">
        <v>1714</v>
      </c>
      <c r="AO33" s="22"/>
      <c r="AP33" s="22"/>
      <c r="AQ33" s="22"/>
      <c r="AR33" s="23"/>
      <c r="AS33" s="21"/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277</v>
      </c>
      <c r="F34" s="22"/>
      <c r="G34" s="22"/>
      <c r="H34" s="22"/>
      <c r="I34" s="23"/>
      <c r="J34" s="32">
        <f t="shared" si="3"/>
        <v>0.34625</v>
      </c>
      <c r="K34" s="22"/>
      <c r="L34" s="22"/>
      <c r="M34" s="22"/>
      <c r="N34" s="23"/>
      <c r="O34" s="31">
        <v>1601</v>
      </c>
      <c r="P34" s="22"/>
      <c r="Q34" s="22"/>
      <c r="R34" s="22"/>
      <c r="S34" s="23"/>
      <c r="T34" s="34">
        <v>277</v>
      </c>
      <c r="U34" s="22"/>
      <c r="V34" s="22"/>
      <c r="W34" s="22"/>
      <c r="X34" s="23"/>
      <c r="Y34" s="24">
        <f t="shared" si="1"/>
        <v>0.36924099999999999</v>
      </c>
      <c r="Z34" s="22"/>
      <c r="AA34" s="22"/>
      <c r="AB34" s="22"/>
      <c r="AC34" s="23"/>
      <c r="AD34" s="25">
        <v>1621</v>
      </c>
      <c r="AE34" s="22"/>
      <c r="AF34" s="22"/>
      <c r="AG34" s="22"/>
      <c r="AH34" s="23"/>
      <c r="AI34" s="21">
        <v>1636</v>
      </c>
      <c r="AJ34" s="22"/>
      <c r="AK34" s="22"/>
      <c r="AL34" s="22"/>
      <c r="AM34" s="23"/>
      <c r="AN34" s="21">
        <v>1715</v>
      </c>
      <c r="AO34" s="22"/>
      <c r="AP34" s="22"/>
      <c r="AQ34" s="22"/>
      <c r="AR34" s="23"/>
      <c r="AS34" s="21"/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280</v>
      </c>
      <c r="F35" s="22"/>
      <c r="G35" s="22"/>
      <c r="H35" s="22"/>
      <c r="I35" s="23"/>
      <c r="J35" s="32">
        <f t="shared" si="3"/>
        <v>0.35000000000000003</v>
      </c>
      <c r="K35" s="22"/>
      <c r="L35" s="22"/>
      <c r="M35" s="22"/>
      <c r="N35" s="23"/>
      <c r="O35" s="31">
        <v>1603</v>
      </c>
      <c r="P35" s="22"/>
      <c r="Q35" s="22"/>
      <c r="R35" s="22"/>
      <c r="S35" s="23"/>
      <c r="T35" s="34">
        <v>280</v>
      </c>
      <c r="U35" s="22"/>
      <c r="V35" s="22"/>
      <c r="W35" s="22"/>
      <c r="X35" s="23"/>
      <c r="Y35" s="24">
        <f t="shared" si="1"/>
        <v>0.37324000000000002</v>
      </c>
      <c r="Z35" s="22"/>
      <c r="AA35" s="22"/>
      <c r="AB35" s="22"/>
      <c r="AC35" s="23"/>
      <c r="AD35" s="25">
        <v>1622</v>
      </c>
      <c r="AE35" s="22"/>
      <c r="AF35" s="22"/>
      <c r="AG35" s="22"/>
      <c r="AH35" s="23"/>
      <c r="AI35" s="21">
        <v>1637</v>
      </c>
      <c r="AJ35" s="22"/>
      <c r="AK35" s="22"/>
      <c r="AL35" s="22"/>
      <c r="AM35" s="23"/>
      <c r="AN35" s="21">
        <v>1716</v>
      </c>
      <c r="AO35" s="22"/>
      <c r="AP35" s="22"/>
      <c r="AQ35" s="22"/>
      <c r="AR35" s="23"/>
      <c r="AS35" s="21"/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248</v>
      </c>
      <c r="F36" s="22"/>
      <c r="G36" s="22"/>
      <c r="H36" s="22"/>
      <c r="I36" s="23"/>
      <c r="J36" s="32">
        <f t="shared" si="3"/>
        <v>0.31</v>
      </c>
      <c r="K36" s="22"/>
      <c r="L36" s="22"/>
      <c r="M36" s="22"/>
      <c r="N36" s="23"/>
      <c r="O36" s="31">
        <v>1605</v>
      </c>
      <c r="P36" s="22"/>
      <c r="Q36" s="22"/>
      <c r="R36" s="22"/>
      <c r="S36" s="23"/>
      <c r="T36" s="34">
        <v>248</v>
      </c>
      <c r="U36" s="22"/>
      <c r="V36" s="22"/>
      <c r="W36" s="22"/>
      <c r="X36" s="23"/>
      <c r="Y36" s="24">
        <f t="shared" si="1"/>
        <v>0.33058399999999999</v>
      </c>
      <c r="Z36" s="22"/>
      <c r="AA36" s="22"/>
      <c r="AB36" s="22"/>
      <c r="AC36" s="23"/>
      <c r="AD36" s="25">
        <v>1624</v>
      </c>
      <c r="AE36" s="22"/>
      <c r="AF36" s="22"/>
      <c r="AG36" s="22"/>
      <c r="AH36" s="23"/>
      <c r="AI36" s="21">
        <v>1638</v>
      </c>
      <c r="AJ36" s="22"/>
      <c r="AK36" s="22"/>
      <c r="AL36" s="22"/>
      <c r="AM36" s="23"/>
      <c r="AN36" s="21">
        <v>1717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445</v>
      </c>
      <c r="F37" s="22"/>
      <c r="G37" s="22"/>
      <c r="H37" s="22"/>
      <c r="I37" s="23"/>
      <c r="J37" s="32">
        <f t="shared" si="3"/>
        <v>0.55625000000000002</v>
      </c>
      <c r="K37" s="22"/>
      <c r="L37" s="22"/>
      <c r="M37" s="22"/>
      <c r="N37" s="23"/>
      <c r="O37" s="31">
        <v>1745</v>
      </c>
      <c r="P37" s="22"/>
      <c r="Q37" s="22"/>
      <c r="R37" s="22"/>
      <c r="S37" s="23"/>
      <c r="T37" s="34">
        <v>445</v>
      </c>
      <c r="U37" s="22"/>
      <c r="V37" s="22"/>
      <c r="W37" s="22"/>
      <c r="X37" s="23"/>
      <c r="Y37" s="24">
        <f t="shared" si="1"/>
        <v>0.59318499999999996</v>
      </c>
      <c r="Z37" s="22"/>
      <c r="AA37" s="22"/>
      <c r="AB37" s="22"/>
      <c r="AC37" s="23"/>
      <c r="AD37" s="25">
        <v>1805</v>
      </c>
      <c r="AE37" s="22"/>
      <c r="AF37" s="22"/>
      <c r="AG37" s="22"/>
      <c r="AH37" s="23"/>
      <c r="AI37" s="21">
        <v>1827</v>
      </c>
      <c r="AJ37" s="22"/>
      <c r="AK37" s="22"/>
      <c r="AL37" s="22"/>
      <c r="AM37" s="23"/>
      <c r="AN37" s="21">
        <v>1902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475</v>
      </c>
      <c r="F38" s="22"/>
      <c r="G38" s="22"/>
      <c r="H38" s="22"/>
      <c r="I38" s="23"/>
      <c r="J38" s="32">
        <f t="shared" si="3"/>
        <v>0.59375</v>
      </c>
      <c r="K38" s="22"/>
      <c r="L38" s="22"/>
      <c r="M38" s="22"/>
      <c r="N38" s="23"/>
      <c r="O38" s="31">
        <v>1746</v>
      </c>
      <c r="P38" s="22"/>
      <c r="Q38" s="22"/>
      <c r="R38" s="22"/>
      <c r="S38" s="23"/>
      <c r="T38" s="34">
        <v>475</v>
      </c>
      <c r="U38" s="22"/>
      <c r="V38" s="22"/>
      <c r="W38" s="22"/>
      <c r="X38" s="23"/>
      <c r="Y38" s="24">
        <f t="shared" si="1"/>
        <v>0.63317500000000004</v>
      </c>
      <c r="Z38" s="22"/>
      <c r="AA38" s="22"/>
      <c r="AB38" s="22"/>
      <c r="AC38" s="23"/>
      <c r="AD38" s="25">
        <v>1807</v>
      </c>
      <c r="AE38" s="22"/>
      <c r="AF38" s="22"/>
      <c r="AG38" s="22"/>
      <c r="AH38" s="23"/>
      <c r="AI38" s="21">
        <v>1828</v>
      </c>
      <c r="AJ38" s="22"/>
      <c r="AK38" s="22"/>
      <c r="AL38" s="22"/>
      <c r="AM38" s="23"/>
      <c r="AN38" s="21">
        <v>1903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290</v>
      </c>
      <c r="F39" s="22"/>
      <c r="G39" s="22"/>
      <c r="H39" s="22"/>
      <c r="I39" s="23"/>
      <c r="J39" s="32">
        <f t="shared" si="3"/>
        <v>0.36249999999999999</v>
      </c>
      <c r="K39" s="22"/>
      <c r="L39" s="22"/>
      <c r="M39" s="22"/>
      <c r="N39" s="23"/>
      <c r="O39" s="31">
        <v>1747</v>
      </c>
      <c r="P39" s="22"/>
      <c r="Q39" s="22"/>
      <c r="R39" s="22"/>
      <c r="S39" s="23"/>
      <c r="T39" s="25">
        <v>290</v>
      </c>
      <c r="U39" s="22"/>
      <c r="V39" s="22"/>
      <c r="W39" s="22"/>
      <c r="X39" s="23"/>
      <c r="Y39" s="24">
        <f t="shared" si="1"/>
        <v>0.38656999999999997</v>
      </c>
      <c r="Z39" s="22"/>
      <c r="AA39" s="22"/>
      <c r="AB39" s="22"/>
      <c r="AC39" s="23"/>
      <c r="AD39" s="25">
        <v>1809</v>
      </c>
      <c r="AE39" s="22"/>
      <c r="AF39" s="22"/>
      <c r="AG39" s="22"/>
      <c r="AH39" s="23"/>
      <c r="AI39" s="21">
        <v>1829</v>
      </c>
      <c r="AJ39" s="22"/>
      <c r="AK39" s="22"/>
      <c r="AL39" s="22"/>
      <c r="AM39" s="23"/>
      <c r="AN39" s="21">
        <v>1904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/>
      <c r="F40" s="22"/>
      <c r="G40" s="22"/>
      <c r="H40" s="22"/>
      <c r="I40" s="23"/>
      <c r="J40" s="32">
        <f t="shared" ref="J40:J46" si="4">E40*0.0012</f>
        <v>0</v>
      </c>
      <c r="K40" s="22"/>
      <c r="L40" s="22"/>
      <c r="M40" s="22"/>
      <c r="N40" s="23"/>
      <c r="O40" s="31"/>
      <c r="P40" s="22"/>
      <c r="Q40" s="22"/>
      <c r="R40" s="22"/>
      <c r="S40" s="23"/>
      <c r="T40" s="25"/>
      <c r="U40" s="22"/>
      <c r="V40" s="22"/>
      <c r="W40" s="22"/>
      <c r="X40" s="23"/>
      <c r="Y40" s="24">
        <f t="shared" si="1"/>
        <v>0</v>
      </c>
      <c r="Z40" s="22"/>
      <c r="AA40" s="22"/>
      <c r="AB40" s="22"/>
      <c r="AC40" s="23"/>
      <c r="AD40" s="25"/>
      <c r="AE40" s="22"/>
      <c r="AF40" s="22"/>
      <c r="AG40" s="22"/>
      <c r="AH40" s="23"/>
      <c r="AI40" s="26"/>
      <c r="AJ40" s="22"/>
      <c r="AK40" s="22"/>
      <c r="AL40" s="22"/>
      <c r="AM40" s="23"/>
      <c r="AN40" s="26"/>
      <c r="AO40" s="22"/>
      <c r="AP40" s="22"/>
      <c r="AQ40" s="22"/>
      <c r="AR40" s="23"/>
      <c r="AS40" s="38" t="s">
        <v>97</v>
      </c>
      <c r="AT40" s="39"/>
      <c r="AU40" s="39"/>
      <c r="AV40" s="39"/>
      <c r="AW40" s="40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/>
      <c r="F41" s="22"/>
      <c r="G41" s="22"/>
      <c r="H41" s="22"/>
      <c r="I41" s="23"/>
      <c r="J41" s="32">
        <f t="shared" si="4"/>
        <v>0</v>
      </c>
      <c r="K41" s="22"/>
      <c r="L41" s="22"/>
      <c r="M41" s="22"/>
      <c r="N41" s="23"/>
      <c r="O41" s="31"/>
      <c r="P41" s="22"/>
      <c r="Q41" s="22"/>
      <c r="R41" s="22"/>
      <c r="S41" s="23"/>
      <c r="T41" s="25"/>
      <c r="U41" s="22"/>
      <c r="V41" s="22"/>
      <c r="W41" s="22"/>
      <c r="X41" s="23"/>
      <c r="Y41" s="24">
        <f t="shared" si="1"/>
        <v>0</v>
      </c>
      <c r="Z41" s="22"/>
      <c r="AA41" s="22"/>
      <c r="AB41" s="22"/>
      <c r="AC41" s="23"/>
      <c r="AD41" s="25"/>
      <c r="AE41" s="22"/>
      <c r="AF41" s="22"/>
      <c r="AG41" s="22"/>
      <c r="AH41" s="23"/>
      <c r="AI41" s="26"/>
      <c r="AJ41" s="22"/>
      <c r="AK41" s="22"/>
      <c r="AL41" s="22"/>
      <c r="AM41" s="23"/>
      <c r="AN41" s="26"/>
      <c r="AO41" s="22"/>
      <c r="AP41" s="22"/>
      <c r="AQ41" s="22"/>
      <c r="AR41" s="23"/>
      <c r="AS41" s="38" t="s">
        <v>97</v>
      </c>
      <c r="AT41" s="39"/>
      <c r="AU41" s="39"/>
      <c r="AV41" s="39"/>
      <c r="AW41" s="40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/>
      <c r="F42" s="22"/>
      <c r="G42" s="22"/>
      <c r="H42" s="22"/>
      <c r="I42" s="23"/>
      <c r="J42" s="32">
        <f t="shared" si="4"/>
        <v>0</v>
      </c>
      <c r="K42" s="22"/>
      <c r="L42" s="22"/>
      <c r="M42" s="22"/>
      <c r="N42" s="23"/>
      <c r="O42" s="31"/>
      <c r="P42" s="22"/>
      <c r="Q42" s="22"/>
      <c r="R42" s="22"/>
      <c r="S42" s="23"/>
      <c r="T42" s="25"/>
      <c r="U42" s="22"/>
      <c r="V42" s="22"/>
      <c r="W42" s="22"/>
      <c r="X42" s="23"/>
      <c r="Y42" s="24">
        <f t="shared" si="1"/>
        <v>0</v>
      </c>
      <c r="Z42" s="22"/>
      <c r="AA42" s="22"/>
      <c r="AB42" s="22"/>
      <c r="AC42" s="23"/>
      <c r="AD42" s="25"/>
      <c r="AE42" s="22"/>
      <c r="AF42" s="22"/>
      <c r="AG42" s="22"/>
      <c r="AH42" s="23"/>
      <c r="AI42" s="26"/>
      <c r="AJ42" s="22"/>
      <c r="AK42" s="22"/>
      <c r="AL42" s="22"/>
      <c r="AM42" s="23"/>
      <c r="AN42" s="26"/>
      <c r="AO42" s="22"/>
      <c r="AP42" s="22"/>
      <c r="AQ42" s="22"/>
      <c r="AR42" s="23"/>
      <c r="AS42" s="38" t="s">
        <v>97</v>
      </c>
      <c r="AT42" s="39"/>
      <c r="AU42" s="39"/>
      <c r="AV42" s="39"/>
      <c r="AW42" s="40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/>
      <c r="F43" s="22"/>
      <c r="G43" s="22"/>
      <c r="H43" s="22"/>
      <c r="I43" s="23"/>
      <c r="J43" s="32">
        <f t="shared" si="4"/>
        <v>0</v>
      </c>
      <c r="K43" s="22"/>
      <c r="L43" s="22"/>
      <c r="M43" s="22"/>
      <c r="N43" s="23"/>
      <c r="O43" s="31"/>
      <c r="P43" s="22"/>
      <c r="Q43" s="22"/>
      <c r="R43" s="22"/>
      <c r="S43" s="23"/>
      <c r="T43" s="25"/>
      <c r="U43" s="22"/>
      <c r="V43" s="22"/>
      <c r="W43" s="22"/>
      <c r="X43" s="23"/>
      <c r="Y43" s="24">
        <f t="shared" si="1"/>
        <v>0</v>
      </c>
      <c r="Z43" s="22"/>
      <c r="AA43" s="22"/>
      <c r="AB43" s="22"/>
      <c r="AC43" s="23"/>
      <c r="AD43" s="25"/>
      <c r="AE43" s="22"/>
      <c r="AF43" s="22"/>
      <c r="AG43" s="22"/>
      <c r="AH43" s="23"/>
      <c r="AI43" s="26"/>
      <c r="AJ43" s="22"/>
      <c r="AK43" s="22"/>
      <c r="AL43" s="22"/>
      <c r="AM43" s="23"/>
      <c r="AN43" s="26"/>
      <c r="AO43" s="22"/>
      <c r="AP43" s="22"/>
      <c r="AQ43" s="22"/>
      <c r="AR43" s="23"/>
      <c r="AS43" s="38" t="s">
        <v>97</v>
      </c>
      <c r="AT43" s="39"/>
      <c r="AU43" s="39"/>
      <c r="AV43" s="39"/>
      <c r="AW43" s="40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/>
      <c r="F44" s="22"/>
      <c r="G44" s="22"/>
      <c r="H44" s="22"/>
      <c r="I44" s="23"/>
      <c r="J44" s="32">
        <f t="shared" si="4"/>
        <v>0</v>
      </c>
      <c r="K44" s="22"/>
      <c r="L44" s="22"/>
      <c r="M44" s="22"/>
      <c r="N44" s="23"/>
      <c r="O44" s="31"/>
      <c r="P44" s="22"/>
      <c r="Q44" s="22"/>
      <c r="R44" s="22"/>
      <c r="S44" s="23"/>
      <c r="T44" s="25"/>
      <c r="U44" s="22"/>
      <c r="V44" s="22"/>
      <c r="W44" s="22"/>
      <c r="X44" s="23"/>
      <c r="Y44" s="24">
        <f t="shared" si="1"/>
        <v>0</v>
      </c>
      <c r="Z44" s="22"/>
      <c r="AA44" s="22"/>
      <c r="AB44" s="22"/>
      <c r="AC44" s="23"/>
      <c r="AD44" s="25"/>
      <c r="AE44" s="22"/>
      <c r="AF44" s="22"/>
      <c r="AG44" s="22"/>
      <c r="AH44" s="23"/>
      <c r="AI44" s="26"/>
      <c r="AJ44" s="22"/>
      <c r="AK44" s="22"/>
      <c r="AL44" s="22"/>
      <c r="AM44" s="23"/>
      <c r="AN44" s="26"/>
      <c r="AO44" s="22"/>
      <c r="AP44" s="22"/>
      <c r="AQ44" s="22"/>
      <c r="AR44" s="23"/>
      <c r="AS44" s="38" t="s">
        <v>97</v>
      </c>
      <c r="AT44" s="39"/>
      <c r="AU44" s="39"/>
      <c r="AV44" s="39"/>
      <c r="AW44" s="40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/>
      <c r="F45" s="22"/>
      <c r="G45" s="22"/>
      <c r="H45" s="22"/>
      <c r="I45" s="23"/>
      <c r="J45" s="32">
        <f t="shared" si="4"/>
        <v>0</v>
      </c>
      <c r="K45" s="22"/>
      <c r="L45" s="22"/>
      <c r="M45" s="22"/>
      <c r="N45" s="23"/>
      <c r="O45" s="31"/>
      <c r="P45" s="22"/>
      <c r="Q45" s="22"/>
      <c r="R45" s="22"/>
      <c r="S45" s="23"/>
      <c r="T45" s="25"/>
      <c r="U45" s="22"/>
      <c r="V45" s="22"/>
      <c r="W45" s="22"/>
      <c r="X45" s="23"/>
      <c r="Y45" s="24">
        <f t="shared" si="1"/>
        <v>0</v>
      </c>
      <c r="Z45" s="22"/>
      <c r="AA45" s="22"/>
      <c r="AB45" s="22"/>
      <c r="AC45" s="23"/>
      <c r="AD45" s="25"/>
      <c r="AE45" s="22"/>
      <c r="AF45" s="22"/>
      <c r="AG45" s="22"/>
      <c r="AH45" s="23"/>
      <c r="AI45" s="26"/>
      <c r="AJ45" s="22"/>
      <c r="AK45" s="22"/>
      <c r="AL45" s="22"/>
      <c r="AM45" s="23"/>
      <c r="AN45" s="26"/>
      <c r="AO45" s="22"/>
      <c r="AP45" s="22"/>
      <c r="AQ45" s="22"/>
      <c r="AR45" s="23"/>
      <c r="AS45" s="38" t="s">
        <v>97</v>
      </c>
      <c r="AT45" s="39"/>
      <c r="AU45" s="39"/>
      <c r="AV45" s="39"/>
      <c r="AW45" s="40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/>
      <c r="F46" s="22"/>
      <c r="G46" s="22"/>
      <c r="H46" s="22"/>
      <c r="I46" s="23"/>
      <c r="J46" s="32">
        <f t="shared" si="4"/>
        <v>0</v>
      </c>
      <c r="K46" s="22"/>
      <c r="L46" s="22"/>
      <c r="M46" s="22"/>
      <c r="N46" s="23"/>
      <c r="O46" s="31"/>
      <c r="P46" s="22"/>
      <c r="Q46" s="22"/>
      <c r="R46" s="22"/>
      <c r="S46" s="23"/>
      <c r="T46" s="25"/>
      <c r="U46" s="22"/>
      <c r="V46" s="22"/>
      <c r="W46" s="22"/>
      <c r="X46" s="23"/>
      <c r="Y46" s="24">
        <f t="shared" si="1"/>
        <v>0</v>
      </c>
      <c r="Z46" s="22"/>
      <c r="AA46" s="22"/>
      <c r="AB46" s="22"/>
      <c r="AC46" s="23"/>
      <c r="AD46" s="25"/>
      <c r="AE46" s="22"/>
      <c r="AF46" s="22"/>
      <c r="AG46" s="22"/>
      <c r="AH46" s="23"/>
      <c r="AI46" s="26"/>
      <c r="AJ46" s="22"/>
      <c r="AK46" s="22"/>
      <c r="AL46" s="22"/>
      <c r="AM46" s="23"/>
      <c r="AN46" s="26"/>
      <c r="AO46" s="22"/>
      <c r="AP46" s="22"/>
      <c r="AQ46" s="22"/>
      <c r="AR46" s="23"/>
      <c r="AS46" s="38" t="s">
        <v>97</v>
      </c>
      <c r="AT46" s="39"/>
      <c r="AU46" s="39"/>
      <c r="AV46" s="39"/>
      <c r="AW46" s="40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</sheetData>
  <mergeCells count="414">
    <mergeCell ref="AI45:AM45"/>
    <mergeCell ref="AN45:AR45"/>
    <mergeCell ref="AS45:AW45"/>
    <mergeCell ref="AI46:AM46"/>
    <mergeCell ref="AN46:AR46"/>
    <mergeCell ref="AS46:AW46"/>
    <mergeCell ref="AS41:AW41"/>
    <mergeCell ref="AI42:AM42"/>
    <mergeCell ref="AN42:AR42"/>
    <mergeCell ref="AS42:AW42"/>
    <mergeCell ref="AI43:AM43"/>
    <mergeCell ref="AN43:AR43"/>
    <mergeCell ref="AS43:AW43"/>
    <mergeCell ref="AI44:AM44"/>
    <mergeCell ref="AN44:AR44"/>
    <mergeCell ref="AS44:AW44"/>
    <mergeCell ref="AS19:AW19"/>
    <mergeCell ref="AS20:AW20"/>
    <mergeCell ref="AS21:AW21"/>
    <mergeCell ref="AS22:AW22"/>
    <mergeCell ref="AS23:AW23"/>
    <mergeCell ref="AS24:AW24"/>
    <mergeCell ref="AS25:AW25"/>
    <mergeCell ref="AI40:AM40"/>
    <mergeCell ref="AN40:AR40"/>
    <mergeCell ref="AS40:AW40"/>
    <mergeCell ref="AI34:AM34"/>
    <mergeCell ref="AN34:AR34"/>
    <mergeCell ref="AS34:AW34"/>
    <mergeCell ref="AS33:AW33"/>
    <mergeCell ref="AN33:AR33"/>
    <mergeCell ref="AI35:AM35"/>
    <mergeCell ref="AN35:AR35"/>
    <mergeCell ref="AS35:AW35"/>
    <mergeCell ref="AS39:AW39"/>
    <mergeCell ref="AS38:AW38"/>
    <mergeCell ref="AS37:AW37"/>
    <mergeCell ref="AI37:AM37"/>
    <mergeCell ref="AI36:AM36"/>
    <mergeCell ref="Y41:AC41"/>
    <mergeCell ref="E41:I41"/>
    <mergeCell ref="J41:N41"/>
    <mergeCell ref="O41:S41"/>
    <mergeCell ref="AD41:AH41"/>
    <mergeCell ref="AI18:AM18"/>
    <mergeCell ref="AN18:AR18"/>
    <mergeCell ref="AI19:AM19"/>
    <mergeCell ref="AN19:AR19"/>
    <mergeCell ref="AI20:AM20"/>
    <mergeCell ref="AN20:AR20"/>
    <mergeCell ref="AI21:AM21"/>
    <mergeCell ref="AN21:AR21"/>
    <mergeCell ref="AI22:AM22"/>
    <mergeCell ref="AN22:AR22"/>
    <mergeCell ref="AI23:AM23"/>
    <mergeCell ref="AN23:AR23"/>
    <mergeCell ref="AI24:AM24"/>
    <mergeCell ref="AN24:AR24"/>
    <mergeCell ref="AI25:AM25"/>
    <mergeCell ref="AN25:AR25"/>
    <mergeCell ref="AI41:AM41"/>
    <mergeCell ref="AN41:AR41"/>
    <mergeCell ref="AD35:AH35"/>
    <mergeCell ref="E36:I36"/>
    <mergeCell ref="J36:N36"/>
    <mergeCell ref="O36:S36"/>
    <mergeCell ref="T36:X36"/>
    <mergeCell ref="Y36:AC36"/>
    <mergeCell ref="AD36:AH36"/>
    <mergeCell ref="E40:I40"/>
    <mergeCell ref="J40:N40"/>
    <mergeCell ref="O40:S40"/>
    <mergeCell ref="AD40:AH40"/>
    <mergeCell ref="T40:X40"/>
    <mergeCell ref="Y40:AC40"/>
    <mergeCell ref="O38:S38"/>
    <mergeCell ref="E34:I34"/>
    <mergeCell ref="J34:N34"/>
    <mergeCell ref="O34:S34"/>
    <mergeCell ref="E33:I33"/>
    <mergeCell ref="J33:N33"/>
    <mergeCell ref="O33:S33"/>
    <mergeCell ref="AI33:AM33"/>
    <mergeCell ref="AD33:AH33"/>
    <mergeCell ref="T33:X33"/>
    <mergeCell ref="Y33:AC33"/>
    <mergeCell ref="T34:X34"/>
    <mergeCell ref="Y34:AC34"/>
    <mergeCell ref="AD34:AH34"/>
    <mergeCell ref="E35:I35"/>
    <mergeCell ref="J35:N35"/>
    <mergeCell ref="O35:S35"/>
    <mergeCell ref="T35:X35"/>
    <mergeCell ref="Y35:AC35"/>
    <mergeCell ref="AI39:AM39"/>
    <mergeCell ref="AN39:AR39"/>
    <mergeCell ref="E39:I39"/>
    <mergeCell ref="J39:N39"/>
    <mergeCell ref="O39:S39"/>
    <mergeCell ref="T39:X39"/>
    <mergeCell ref="Y39:AC39"/>
    <mergeCell ref="AD39:AH39"/>
    <mergeCell ref="AD37:AH37"/>
    <mergeCell ref="T37:X37"/>
    <mergeCell ref="Y37:AC37"/>
    <mergeCell ref="T38:X38"/>
    <mergeCell ref="Y38:AC38"/>
    <mergeCell ref="AD38:AH38"/>
    <mergeCell ref="AI38:AM38"/>
    <mergeCell ref="AN38:AR38"/>
    <mergeCell ref="AN37:AR37"/>
    <mergeCell ref="E38:I38"/>
    <mergeCell ref="J38:N38"/>
    <mergeCell ref="O43:S43"/>
    <mergeCell ref="T43:X43"/>
    <mergeCell ref="Y43:AC43"/>
    <mergeCell ref="AD43:AH43"/>
    <mergeCell ref="E42:I42"/>
    <mergeCell ref="J42:N42"/>
    <mergeCell ref="O42:S42"/>
    <mergeCell ref="T42:X42"/>
    <mergeCell ref="Y42:AC42"/>
    <mergeCell ref="AD42:AH42"/>
    <mergeCell ref="T41:X41"/>
    <mergeCell ref="T46:X46"/>
    <mergeCell ref="Y46:AC46"/>
    <mergeCell ref="E46:I46"/>
    <mergeCell ref="J46:N46"/>
    <mergeCell ref="O46:S46"/>
    <mergeCell ref="AD46:AH46"/>
    <mergeCell ref="E37:I37"/>
    <mergeCell ref="J37:N37"/>
    <mergeCell ref="O37:S37"/>
    <mergeCell ref="E45:I45"/>
    <mergeCell ref="J45:N45"/>
    <mergeCell ref="O45:S45"/>
    <mergeCell ref="T45:X45"/>
    <mergeCell ref="Y45:AC45"/>
    <mergeCell ref="AD45:AH45"/>
    <mergeCell ref="T44:X44"/>
    <mergeCell ref="Y44:AC44"/>
    <mergeCell ref="E44:I44"/>
    <mergeCell ref="J44:N44"/>
    <mergeCell ref="O44:S44"/>
    <mergeCell ref="AD44:AH44"/>
    <mergeCell ref="E43:I43"/>
    <mergeCell ref="J43:N43"/>
    <mergeCell ref="AN36:AR36"/>
    <mergeCell ref="AS36:AW36"/>
    <mergeCell ref="AD26:AH26"/>
    <mergeCell ref="T26:X26"/>
    <mergeCell ref="Y26:AC26"/>
    <mergeCell ref="T27:X27"/>
    <mergeCell ref="Y27:AC27"/>
    <mergeCell ref="AD27:AH27"/>
    <mergeCell ref="AI27:AM27"/>
    <mergeCell ref="AN27:AR27"/>
    <mergeCell ref="AS27:AW27"/>
    <mergeCell ref="AS26:AW26"/>
    <mergeCell ref="AN26:AR26"/>
    <mergeCell ref="AN28:AR28"/>
    <mergeCell ref="AS28:AW28"/>
    <mergeCell ref="AD30:AH30"/>
    <mergeCell ref="T30:X30"/>
    <mergeCell ref="Y30:AC30"/>
    <mergeCell ref="T31:X31"/>
    <mergeCell ref="Y31:AC31"/>
    <mergeCell ref="AD31:AH31"/>
    <mergeCell ref="AI31:AM31"/>
    <mergeCell ref="E27:I27"/>
    <mergeCell ref="J27:N27"/>
    <mergeCell ref="O27:S27"/>
    <mergeCell ref="E26:I26"/>
    <mergeCell ref="J26:N26"/>
    <mergeCell ref="O26:S26"/>
    <mergeCell ref="AI26:AM26"/>
    <mergeCell ref="AD28:AH28"/>
    <mergeCell ref="AI28:AM28"/>
    <mergeCell ref="E28:I28"/>
    <mergeCell ref="J28:N28"/>
    <mergeCell ref="O28:S28"/>
    <mergeCell ref="T28:X28"/>
    <mergeCell ref="Y28:AC28"/>
    <mergeCell ref="AD9:AH9"/>
    <mergeCell ref="AN9:AR9"/>
    <mergeCell ref="AS9:AW9"/>
    <mergeCell ref="T9:X9"/>
    <mergeCell ref="Y9:AC9"/>
    <mergeCell ref="E6:I6"/>
    <mergeCell ref="J6:N6"/>
    <mergeCell ref="O6:S6"/>
    <mergeCell ref="T6:X6"/>
    <mergeCell ref="Y6:AC6"/>
    <mergeCell ref="AD6:AH6"/>
    <mergeCell ref="O8:S8"/>
    <mergeCell ref="AI8:AM8"/>
    <mergeCell ref="AN8:AR8"/>
    <mergeCell ref="E8:I8"/>
    <mergeCell ref="J8:N8"/>
    <mergeCell ref="AD7:AH7"/>
    <mergeCell ref="T7:X7"/>
    <mergeCell ref="Y7:AC7"/>
    <mergeCell ref="T8:X8"/>
    <mergeCell ref="Y8:AC8"/>
    <mergeCell ref="AD8:AH8"/>
    <mergeCell ref="AN11:AR11"/>
    <mergeCell ref="AI10:AM10"/>
    <mergeCell ref="AS6:AW6"/>
    <mergeCell ref="AS8:AW8"/>
    <mergeCell ref="AI6:AM6"/>
    <mergeCell ref="AN6:AR6"/>
    <mergeCell ref="AS7:AW7"/>
    <mergeCell ref="AI7:AM7"/>
    <mergeCell ref="AN7:AR7"/>
    <mergeCell ref="AI9:AM9"/>
    <mergeCell ref="AS11:AW11"/>
    <mergeCell ref="AD5:AH5"/>
    <mergeCell ref="AI5:AM5"/>
    <mergeCell ref="AN5:AR5"/>
    <mergeCell ref="AS5:AW5"/>
    <mergeCell ref="E5:I5"/>
    <mergeCell ref="J5:N5"/>
    <mergeCell ref="O5:S5"/>
    <mergeCell ref="T5:X5"/>
    <mergeCell ref="Y5:AC5"/>
    <mergeCell ref="E10:I10"/>
    <mergeCell ref="J10:N10"/>
    <mergeCell ref="O10:S10"/>
    <mergeCell ref="O7:S7"/>
    <mergeCell ref="AD10:AH10"/>
    <mergeCell ref="AN10:AR10"/>
    <mergeCell ref="AS10:AW10"/>
    <mergeCell ref="O11:S11"/>
    <mergeCell ref="T10:X10"/>
    <mergeCell ref="T11:X11"/>
    <mergeCell ref="Y10:AC10"/>
    <mergeCell ref="Y11:AC11"/>
    <mergeCell ref="AD11:AH11"/>
    <mergeCell ref="AI11:AM11"/>
    <mergeCell ref="E19:I19"/>
    <mergeCell ref="J19:N19"/>
    <mergeCell ref="O19:S19"/>
    <mergeCell ref="T19:X19"/>
    <mergeCell ref="Y19:AC19"/>
    <mergeCell ref="AD19:AH19"/>
    <mergeCell ref="E24:I24"/>
    <mergeCell ref="J24:N24"/>
    <mergeCell ref="O24:S24"/>
    <mergeCell ref="AD24:AH24"/>
    <mergeCell ref="T20:X20"/>
    <mergeCell ref="Y20:AC20"/>
    <mergeCell ref="J21:N21"/>
    <mergeCell ref="O21:S21"/>
    <mergeCell ref="T21:X21"/>
    <mergeCell ref="Y21:AC21"/>
    <mergeCell ref="AD21:AH21"/>
    <mergeCell ref="E20:I20"/>
    <mergeCell ref="J20:N20"/>
    <mergeCell ref="O20:S20"/>
    <mergeCell ref="AD20:AH20"/>
    <mergeCell ref="O4:S4"/>
    <mergeCell ref="T4:X4"/>
    <mergeCell ref="Y4:AC4"/>
    <mergeCell ref="O25:S25"/>
    <mergeCell ref="T23:X23"/>
    <mergeCell ref="Y23:AC23"/>
    <mergeCell ref="AD23:AH23"/>
    <mergeCell ref="E25:I25"/>
    <mergeCell ref="J25:N25"/>
    <mergeCell ref="T24:X24"/>
    <mergeCell ref="Y24:AC24"/>
    <mergeCell ref="T25:X25"/>
    <mergeCell ref="Y25:AC25"/>
    <mergeCell ref="AD25:AH25"/>
    <mergeCell ref="E23:I23"/>
    <mergeCell ref="J23:N23"/>
    <mergeCell ref="O23:S23"/>
    <mergeCell ref="T22:X22"/>
    <mergeCell ref="Y22:AC22"/>
    <mergeCell ref="E22:I22"/>
    <mergeCell ref="J22:N22"/>
    <mergeCell ref="O22:S22"/>
    <mergeCell ref="AD22:AH22"/>
    <mergeCell ref="E21:I21"/>
    <mergeCell ref="AS4:AW4"/>
    <mergeCell ref="E3:I3"/>
    <mergeCell ref="J3:N3"/>
    <mergeCell ref="O3:S3"/>
    <mergeCell ref="T3:X3"/>
    <mergeCell ref="Y3:AC3"/>
    <mergeCell ref="AS3:AW3"/>
    <mergeCell ref="AI2:AM2"/>
    <mergeCell ref="AN2:AR2"/>
    <mergeCell ref="AS2:AW2"/>
    <mergeCell ref="AI3:AM3"/>
    <mergeCell ref="AN3:AR3"/>
    <mergeCell ref="E2:I2"/>
    <mergeCell ref="J2:N2"/>
    <mergeCell ref="O2:S2"/>
    <mergeCell ref="T2:X2"/>
    <mergeCell ref="Y2:AC2"/>
    <mergeCell ref="AD2:AH2"/>
    <mergeCell ref="AD3:AH3"/>
    <mergeCell ref="AD4:AH4"/>
    <mergeCell ref="AN4:AR4"/>
    <mergeCell ref="AI4:AM4"/>
    <mergeCell ref="E4:I4"/>
    <mergeCell ref="J4:N4"/>
    <mergeCell ref="AN1:AR1"/>
    <mergeCell ref="AS1:AW1"/>
    <mergeCell ref="E1:I1"/>
    <mergeCell ref="J1:N1"/>
    <mergeCell ref="O1:S1"/>
    <mergeCell ref="T1:X1"/>
    <mergeCell ref="Y1:AC1"/>
    <mergeCell ref="AD1:AH1"/>
    <mergeCell ref="AI1:AM1"/>
    <mergeCell ref="AD13:AH13"/>
    <mergeCell ref="T13:X13"/>
    <mergeCell ref="Y13:AC13"/>
    <mergeCell ref="E12:I12"/>
    <mergeCell ref="J12:N12"/>
    <mergeCell ref="O12:S12"/>
    <mergeCell ref="T12:X12"/>
    <mergeCell ref="Y12:AC12"/>
    <mergeCell ref="AD12:AH12"/>
    <mergeCell ref="E11:I11"/>
    <mergeCell ref="J11:N11"/>
    <mergeCell ref="E7:I7"/>
    <mergeCell ref="J7:N7"/>
    <mergeCell ref="T14:X14"/>
    <mergeCell ref="Y14:AC14"/>
    <mergeCell ref="E14:I14"/>
    <mergeCell ref="J14:N14"/>
    <mergeCell ref="O14:S14"/>
    <mergeCell ref="E13:I13"/>
    <mergeCell ref="J13:N13"/>
    <mergeCell ref="O13:S13"/>
    <mergeCell ref="E9:I9"/>
    <mergeCell ref="J9:N9"/>
    <mergeCell ref="O9:S9"/>
    <mergeCell ref="AD14:AH14"/>
    <mergeCell ref="E15:I15"/>
    <mergeCell ref="J15:N15"/>
    <mergeCell ref="O15:S15"/>
    <mergeCell ref="T15:X15"/>
    <mergeCell ref="Y15:AC15"/>
    <mergeCell ref="AD15:AH15"/>
    <mergeCell ref="AN31:AR31"/>
    <mergeCell ref="AS31:AW31"/>
    <mergeCell ref="AS30:AW30"/>
    <mergeCell ref="AN30:AR30"/>
    <mergeCell ref="E31:I31"/>
    <mergeCell ref="J31:N31"/>
    <mergeCell ref="O31:S31"/>
    <mergeCell ref="AN29:AR29"/>
    <mergeCell ref="AS29:AW29"/>
    <mergeCell ref="E29:I29"/>
    <mergeCell ref="J29:N29"/>
    <mergeCell ref="O29:S29"/>
    <mergeCell ref="T29:X29"/>
    <mergeCell ref="Y29:AC29"/>
    <mergeCell ref="AD29:AH29"/>
    <mergeCell ref="AI29:AM29"/>
    <mergeCell ref="E30:I30"/>
    <mergeCell ref="J30:N30"/>
    <mergeCell ref="O30:S30"/>
    <mergeCell ref="AI30:AM30"/>
    <mergeCell ref="AD32:AH32"/>
    <mergeCell ref="AI32:AM32"/>
    <mergeCell ref="AN32:AR32"/>
    <mergeCell ref="AS32:AW32"/>
    <mergeCell ref="E32:I32"/>
    <mergeCell ref="J32:N32"/>
    <mergeCell ref="O32:S32"/>
    <mergeCell ref="T32:X32"/>
    <mergeCell ref="Y32:AC32"/>
    <mergeCell ref="AD18:AH18"/>
    <mergeCell ref="E18:I18"/>
    <mergeCell ref="J18:N18"/>
    <mergeCell ref="O18:S18"/>
    <mergeCell ref="T18:X18"/>
    <mergeCell ref="Y18:AC18"/>
    <mergeCell ref="AN16:AR16"/>
    <mergeCell ref="AS16:AW16"/>
    <mergeCell ref="E16:I16"/>
    <mergeCell ref="J16:N16"/>
    <mergeCell ref="O16:S16"/>
    <mergeCell ref="T16:X16"/>
    <mergeCell ref="Y16:AC16"/>
    <mergeCell ref="E17:I17"/>
    <mergeCell ref="J17:N17"/>
    <mergeCell ref="O17:S17"/>
    <mergeCell ref="AI17:AM17"/>
    <mergeCell ref="AD16:AH16"/>
    <mergeCell ref="AD17:AH17"/>
    <mergeCell ref="T17:X17"/>
    <mergeCell ref="Y17:AC17"/>
    <mergeCell ref="AS17:AW17"/>
    <mergeCell ref="AN17:AR17"/>
    <mergeCell ref="AS18:AW18"/>
    <mergeCell ref="AI15:AM15"/>
    <mergeCell ref="AI14:AM14"/>
    <mergeCell ref="AI13:AM13"/>
    <mergeCell ref="AI12:AM12"/>
    <mergeCell ref="AI16:AM16"/>
    <mergeCell ref="AN12:AR12"/>
    <mergeCell ref="AS12:AW12"/>
    <mergeCell ref="AN15:AR15"/>
    <mergeCell ref="AS15:AW15"/>
    <mergeCell ref="AN14:AR14"/>
    <mergeCell ref="AS14:AW14"/>
    <mergeCell ref="AS13:AW13"/>
    <mergeCell ref="AN13:AR1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D85C6"/>
    <outlinePr summaryBelow="0" summaryRight="0"/>
    <pageSetUpPr fitToPage="1"/>
  </sheetPr>
  <dimension ref="A1:GB71"/>
  <sheetViews>
    <sheetView showGridLines="0" topLeftCell="L22" workbookViewId="0">
      <selection activeCell="O38" sqref="O38:S38"/>
    </sheetView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75" customWidth="1"/>
    <col min="4" max="4" width="15.75" customWidth="1"/>
    <col min="5" max="18" width="3" customWidth="1"/>
    <col min="19" max="19" width="26" customWidth="1"/>
    <col min="20" max="23" width="3" customWidth="1"/>
    <col min="24" max="24" width="2.75" customWidth="1"/>
    <col min="25" max="78" width="3" customWidth="1"/>
    <col min="79" max="79" width="12.25" customWidth="1"/>
    <col min="8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432</v>
      </c>
      <c r="F2" s="22"/>
      <c r="G2" s="22"/>
      <c r="H2" s="22"/>
      <c r="I2" s="23"/>
      <c r="J2" s="32">
        <f t="shared" ref="J2:J17" si="0">E2*0.00125</f>
        <v>0.54</v>
      </c>
      <c r="K2" s="22"/>
      <c r="L2" s="22"/>
      <c r="M2" s="22"/>
      <c r="N2" s="23"/>
      <c r="O2" s="32">
        <v>1420</v>
      </c>
      <c r="P2" s="22"/>
      <c r="Q2" s="22"/>
      <c r="R2" s="22"/>
      <c r="S2" s="23"/>
      <c r="T2" s="24">
        <v>432</v>
      </c>
      <c r="U2" s="22"/>
      <c r="V2" s="22"/>
      <c r="W2" s="22"/>
      <c r="X2" s="23"/>
      <c r="Y2" s="24">
        <f t="shared" ref="Y2:Y46" si="1">T2*0.001333</f>
        <v>0.57585600000000003</v>
      </c>
      <c r="Z2" s="22"/>
      <c r="AA2" s="22"/>
      <c r="AB2" s="22"/>
      <c r="AC2" s="23"/>
      <c r="AD2" s="24">
        <v>1459</v>
      </c>
      <c r="AE2" s="22"/>
      <c r="AF2" s="22"/>
      <c r="AG2" s="22"/>
      <c r="AH2" s="23"/>
      <c r="AI2" s="26">
        <v>1512</v>
      </c>
      <c r="AJ2" s="22"/>
      <c r="AK2" s="22"/>
      <c r="AL2" s="22"/>
      <c r="AM2" s="23"/>
      <c r="AN2" s="26">
        <v>1552</v>
      </c>
      <c r="AO2" s="22"/>
      <c r="AP2" s="22"/>
      <c r="AQ2" s="22"/>
      <c r="AR2" s="23"/>
      <c r="AS2" s="26"/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441</v>
      </c>
      <c r="F3" s="22"/>
      <c r="G3" s="22"/>
      <c r="H3" s="22"/>
      <c r="I3" s="23"/>
      <c r="J3" s="32">
        <f t="shared" si="0"/>
        <v>0.55125000000000002</v>
      </c>
      <c r="K3" s="22"/>
      <c r="L3" s="22"/>
      <c r="M3" s="22"/>
      <c r="N3" s="23"/>
      <c r="O3" s="32">
        <v>1422</v>
      </c>
      <c r="P3" s="22"/>
      <c r="Q3" s="22"/>
      <c r="R3" s="22"/>
      <c r="S3" s="23"/>
      <c r="T3" s="36">
        <v>441</v>
      </c>
      <c r="U3" s="22"/>
      <c r="V3" s="22"/>
      <c r="W3" s="22"/>
      <c r="X3" s="23"/>
      <c r="Y3" s="24">
        <f t="shared" si="1"/>
        <v>0.58785299999999996</v>
      </c>
      <c r="Z3" s="22"/>
      <c r="AA3" s="22"/>
      <c r="AB3" s="22"/>
      <c r="AC3" s="23"/>
      <c r="AD3" s="24">
        <v>1501</v>
      </c>
      <c r="AE3" s="22"/>
      <c r="AF3" s="22"/>
      <c r="AG3" s="22"/>
      <c r="AH3" s="23"/>
      <c r="AI3" s="26">
        <v>1513</v>
      </c>
      <c r="AJ3" s="22"/>
      <c r="AK3" s="22"/>
      <c r="AL3" s="22"/>
      <c r="AM3" s="23"/>
      <c r="AN3" s="26">
        <v>1553</v>
      </c>
      <c r="AO3" s="22"/>
      <c r="AP3" s="22"/>
      <c r="AQ3" s="22"/>
      <c r="AR3" s="23"/>
      <c r="AS3" s="26"/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434</v>
      </c>
      <c r="F4" s="22"/>
      <c r="G4" s="22"/>
      <c r="H4" s="22"/>
      <c r="I4" s="23"/>
      <c r="J4" s="32">
        <f t="shared" si="0"/>
        <v>0.54249999999999998</v>
      </c>
      <c r="K4" s="22"/>
      <c r="L4" s="22"/>
      <c r="M4" s="22"/>
      <c r="N4" s="23"/>
      <c r="O4" s="32">
        <v>1423</v>
      </c>
      <c r="P4" s="22"/>
      <c r="Q4" s="22"/>
      <c r="R4" s="22"/>
      <c r="S4" s="23"/>
      <c r="T4" s="36">
        <v>434</v>
      </c>
      <c r="U4" s="22"/>
      <c r="V4" s="22"/>
      <c r="W4" s="22"/>
      <c r="X4" s="23"/>
      <c r="Y4" s="24">
        <f t="shared" si="1"/>
        <v>0.57852199999999998</v>
      </c>
      <c r="Z4" s="22"/>
      <c r="AA4" s="22"/>
      <c r="AB4" s="22"/>
      <c r="AC4" s="23"/>
      <c r="AD4" s="24">
        <v>1502</v>
      </c>
      <c r="AE4" s="22"/>
      <c r="AF4" s="22"/>
      <c r="AG4" s="22"/>
      <c r="AH4" s="23"/>
      <c r="AI4" s="26">
        <v>1514</v>
      </c>
      <c r="AJ4" s="22"/>
      <c r="AK4" s="22"/>
      <c r="AL4" s="22"/>
      <c r="AM4" s="23"/>
      <c r="AN4" s="26">
        <v>1554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440</v>
      </c>
      <c r="F5" s="22"/>
      <c r="G5" s="22"/>
      <c r="H5" s="22"/>
      <c r="I5" s="23"/>
      <c r="J5" s="32">
        <f t="shared" si="0"/>
        <v>0.55000000000000004</v>
      </c>
      <c r="K5" s="22"/>
      <c r="L5" s="22"/>
      <c r="M5" s="22"/>
      <c r="N5" s="23"/>
      <c r="O5" s="32">
        <v>1425</v>
      </c>
      <c r="P5" s="22"/>
      <c r="Q5" s="22"/>
      <c r="R5" s="22"/>
      <c r="S5" s="23"/>
      <c r="T5" s="36">
        <v>440</v>
      </c>
      <c r="U5" s="22"/>
      <c r="V5" s="22"/>
      <c r="W5" s="22"/>
      <c r="X5" s="23"/>
      <c r="Y5" s="24">
        <f t="shared" si="1"/>
        <v>0.58652000000000004</v>
      </c>
      <c r="Z5" s="22"/>
      <c r="AA5" s="22"/>
      <c r="AB5" s="22"/>
      <c r="AC5" s="23"/>
      <c r="AD5" s="24">
        <v>1503</v>
      </c>
      <c r="AE5" s="22"/>
      <c r="AF5" s="22"/>
      <c r="AG5" s="22"/>
      <c r="AH5" s="23"/>
      <c r="AI5" s="26">
        <v>1515</v>
      </c>
      <c r="AJ5" s="22"/>
      <c r="AK5" s="22"/>
      <c r="AL5" s="22"/>
      <c r="AM5" s="23"/>
      <c r="AN5" s="26">
        <v>1555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472</v>
      </c>
      <c r="F6" s="22"/>
      <c r="G6" s="22"/>
      <c r="H6" s="22"/>
      <c r="I6" s="23"/>
      <c r="J6" s="32">
        <f t="shared" si="0"/>
        <v>0.59</v>
      </c>
      <c r="K6" s="22"/>
      <c r="L6" s="22"/>
      <c r="M6" s="22"/>
      <c r="N6" s="23"/>
      <c r="O6" s="32">
        <v>1539</v>
      </c>
      <c r="P6" s="22"/>
      <c r="Q6" s="22"/>
      <c r="R6" s="22"/>
      <c r="S6" s="23"/>
      <c r="T6" s="24">
        <v>472</v>
      </c>
      <c r="U6" s="22"/>
      <c r="V6" s="22"/>
      <c r="W6" s="22"/>
      <c r="X6" s="23"/>
      <c r="Y6" s="24">
        <f t="shared" si="1"/>
        <v>0.62917599999999996</v>
      </c>
      <c r="Z6" s="22"/>
      <c r="AA6" s="22"/>
      <c r="AB6" s="22"/>
      <c r="AC6" s="23"/>
      <c r="AD6" s="24">
        <v>1601</v>
      </c>
      <c r="AE6" s="22"/>
      <c r="AF6" s="22"/>
      <c r="AG6" s="22"/>
      <c r="AH6" s="23"/>
      <c r="AI6" s="26">
        <v>1624</v>
      </c>
      <c r="AJ6" s="22"/>
      <c r="AK6" s="22"/>
      <c r="AL6" s="22"/>
      <c r="AM6" s="23"/>
      <c r="AN6" s="26">
        <v>1704</v>
      </c>
      <c r="AO6" s="22"/>
      <c r="AP6" s="22"/>
      <c r="AQ6" s="22"/>
      <c r="AR6" s="23"/>
      <c r="AS6" s="26"/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419</v>
      </c>
      <c r="F7" s="22"/>
      <c r="G7" s="22"/>
      <c r="H7" s="22"/>
      <c r="I7" s="23"/>
      <c r="J7" s="32">
        <f t="shared" si="0"/>
        <v>0.52375000000000005</v>
      </c>
      <c r="K7" s="22"/>
      <c r="L7" s="22"/>
      <c r="M7" s="22"/>
      <c r="N7" s="23"/>
      <c r="O7" s="32">
        <v>1540</v>
      </c>
      <c r="P7" s="22"/>
      <c r="Q7" s="22"/>
      <c r="R7" s="22"/>
      <c r="S7" s="23"/>
      <c r="T7" s="24">
        <v>419</v>
      </c>
      <c r="U7" s="22"/>
      <c r="V7" s="22"/>
      <c r="W7" s="22"/>
      <c r="X7" s="23"/>
      <c r="Y7" s="24">
        <f t="shared" si="1"/>
        <v>0.558527</v>
      </c>
      <c r="Z7" s="22"/>
      <c r="AA7" s="22"/>
      <c r="AB7" s="22"/>
      <c r="AC7" s="23"/>
      <c r="AD7" s="24">
        <v>1603</v>
      </c>
      <c r="AE7" s="22"/>
      <c r="AF7" s="22"/>
      <c r="AG7" s="22"/>
      <c r="AH7" s="23"/>
      <c r="AI7" s="26">
        <v>1625</v>
      </c>
      <c r="AJ7" s="22"/>
      <c r="AK7" s="22"/>
      <c r="AL7" s="22"/>
      <c r="AM7" s="23"/>
      <c r="AN7" s="26">
        <v>1705</v>
      </c>
      <c r="AO7" s="22"/>
      <c r="AP7" s="22"/>
      <c r="AQ7" s="22"/>
      <c r="AR7" s="23"/>
      <c r="AS7" s="26"/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438</v>
      </c>
      <c r="F8" s="22"/>
      <c r="G8" s="22"/>
      <c r="H8" s="22"/>
      <c r="I8" s="23"/>
      <c r="J8" s="32">
        <f t="shared" si="0"/>
        <v>0.54749999999999999</v>
      </c>
      <c r="K8" s="22"/>
      <c r="L8" s="22"/>
      <c r="M8" s="22"/>
      <c r="N8" s="23"/>
      <c r="O8" s="32">
        <v>1541</v>
      </c>
      <c r="P8" s="22"/>
      <c r="Q8" s="22"/>
      <c r="R8" s="22"/>
      <c r="S8" s="23"/>
      <c r="T8" s="24">
        <v>438</v>
      </c>
      <c r="U8" s="22"/>
      <c r="V8" s="22"/>
      <c r="W8" s="22"/>
      <c r="X8" s="23"/>
      <c r="Y8" s="24">
        <f t="shared" si="1"/>
        <v>0.58385399999999998</v>
      </c>
      <c r="Z8" s="22"/>
      <c r="AA8" s="22"/>
      <c r="AB8" s="22"/>
      <c r="AC8" s="23"/>
      <c r="AD8" s="24">
        <v>1704</v>
      </c>
      <c r="AE8" s="22"/>
      <c r="AF8" s="22"/>
      <c r="AG8" s="22"/>
      <c r="AH8" s="23"/>
      <c r="AI8" s="26">
        <v>1626</v>
      </c>
      <c r="AJ8" s="22"/>
      <c r="AK8" s="22"/>
      <c r="AL8" s="22"/>
      <c r="AM8" s="23"/>
      <c r="AN8" s="26">
        <v>1706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288</v>
      </c>
      <c r="F9" s="22"/>
      <c r="G9" s="22"/>
      <c r="H9" s="22"/>
      <c r="I9" s="23"/>
      <c r="J9" s="32">
        <f t="shared" si="0"/>
        <v>0.36</v>
      </c>
      <c r="K9" s="22"/>
      <c r="L9" s="22"/>
      <c r="M9" s="22"/>
      <c r="N9" s="23"/>
      <c r="O9" s="32">
        <v>1543</v>
      </c>
      <c r="P9" s="22"/>
      <c r="Q9" s="22"/>
      <c r="R9" s="22"/>
      <c r="S9" s="23"/>
      <c r="T9" s="24">
        <v>288</v>
      </c>
      <c r="U9" s="22"/>
      <c r="V9" s="22"/>
      <c r="W9" s="22"/>
      <c r="X9" s="23"/>
      <c r="Y9" s="24">
        <f t="shared" si="1"/>
        <v>0.38390400000000002</v>
      </c>
      <c r="Z9" s="22"/>
      <c r="AA9" s="22"/>
      <c r="AB9" s="22"/>
      <c r="AC9" s="23"/>
      <c r="AD9" s="24">
        <v>1606</v>
      </c>
      <c r="AE9" s="22"/>
      <c r="AF9" s="22"/>
      <c r="AG9" s="22"/>
      <c r="AH9" s="23"/>
      <c r="AI9" s="26">
        <v>1627</v>
      </c>
      <c r="AJ9" s="22"/>
      <c r="AK9" s="22"/>
      <c r="AL9" s="22"/>
      <c r="AM9" s="23"/>
      <c r="AN9" s="26">
        <v>1707</v>
      </c>
      <c r="AO9" s="22"/>
      <c r="AP9" s="22"/>
      <c r="AQ9" s="22"/>
      <c r="AR9" s="23"/>
      <c r="AS9" s="26"/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438</v>
      </c>
      <c r="F10" s="22"/>
      <c r="G10" s="22"/>
      <c r="H10" s="22"/>
      <c r="I10" s="23"/>
      <c r="J10" s="32">
        <f t="shared" si="0"/>
        <v>0.54749999999999999</v>
      </c>
      <c r="K10" s="22"/>
      <c r="L10" s="22"/>
      <c r="M10" s="22"/>
      <c r="N10" s="23"/>
      <c r="O10" s="32">
        <v>1145</v>
      </c>
      <c r="P10" s="22"/>
      <c r="Q10" s="22"/>
      <c r="R10" s="22"/>
      <c r="S10" s="23"/>
      <c r="T10" s="24">
        <v>438</v>
      </c>
      <c r="U10" s="22"/>
      <c r="V10" s="22"/>
      <c r="W10" s="22"/>
      <c r="X10" s="23"/>
      <c r="Y10" s="24">
        <f t="shared" si="1"/>
        <v>0.58385399999999998</v>
      </c>
      <c r="Z10" s="22"/>
      <c r="AA10" s="22"/>
      <c r="AB10" s="22"/>
      <c r="AC10" s="23"/>
      <c r="AD10" s="24">
        <v>1206</v>
      </c>
      <c r="AE10" s="22"/>
      <c r="AF10" s="22"/>
      <c r="AG10" s="22"/>
      <c r="AH10" s="23"/>
      <c r="AI10" s="26">
        <v>1222</v>
      </c>
      <c r="AJ10" s="22"/>
      <c r="AK10" s="22"/>
      <c r="AL10" s="22"/>
      <c r="AM10" s="23"/>
      <c r="AN10" s="26">
        <v>1302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457</v>
      </c>
      <c r="F11" s="22"/>
      <c r="G11" s="22"/>
      <c r="H11" s="22"/>
      <c r="I11" s="23"/>
      <c r="J11" s="32">
        <f t="shared" si="0"/>
        <v>0.57125000000000004</v>
      </c>
      <c r="K11" s="22"/>
      <c r="L11" s="22"/>
      <c r="M11" s="22"/>
      <c r="N11" s="23"/>
      <c r="O11" s="32">
        <v>1146</v>
      </c>
      <c r="P11" s="22"/>
      <c r="Q11" s="22"/>
      <c r="R11" s="22"/>
      <c r="S11" s="23"/>
      <c r="T11" s="36">
        <v>457</v>
      </c>
      <c r="U11" s="22"/>
      <c r="V11" s="22"/>
      <c r="W11" s="22"/>
      <c r="X11" s="23"/>
      <c r="Y11" s="24">
        <f t="shared" si="1"/>
        <v>0.60918099999999997</v>
      </c>
      <c r="Z11" s="22"/>
      <c r="AA11" s="22"/>
      <c r="AB11" s="22"/>
      <c r="AC11" s="23"/>
      <c r="AD11" s="24">
        <v>1207</v>
      </c>
      <c r="AE11" s="22"/>
      <c r="AF11" s="22"/>
      <c r="AG11" s="22"/>
      <c r="AH11" s="23"/>
      <c r="AI11" s="26">
        <v>1223</v>
      </c>
      <c r="AJ11" s="22"/>
      <c r="AK11" s="22"/>
      <c r="AL11" s="22"/>
      <c r="AM11" s="23"/>
      <c r="AN11" s="26">
        <v>1303</v>
      </c>
      <c r="AO11" s="22"/>
      <c r="AP11" s="22"/>
      <c r="AQ11" s="22"/>
      <c r="AR11" s="23"/>
      <c r="AS11" s="26"/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456</v>
      </c>
      <c r="F12" s="22"/>
      <c r="G12" s="22"/>
      <c r="H12" s="22"/>
      <c r="I12" s="23"/>
      <c r="J12" s="32">
        <f t="shared" si="0"/>
        <v>0.57000000000000006</v>
      </c>
      <c r="K12" s="22"/>
      <c r="L12" s="22"/>
      <c r="M12" s="22"/>
      <c r="N12" s="23"/>
      <c r="O12" s="32">
        <v>1316</v>
      </c>
      <c r="P12" s="22"/>
      <c r="Q12" s="22"/>
      <c r="R12" s="22"/>
      <c r="S12" s="23"/>
      <c r="T12" s="36">
        <v>456</v>
      </c>
      <c r="U12" s="22"/>
      <c r="V12" s="22"/>
      <c r="W12" s="22"/>
      <c r="X12" s="23"/>
      <c r="Y12" s="24">
        <f t="shared" si="1"/>
        <v>0.60784799999999994</v>
      </c>
      <c r="Z12" s="22"/>
      <c r="AA12" s="22"/>
      <c r="AB12" s="22"/>
      <c r="AC12" s="23"/>
      <c r="AD12" s="24">
        <v>1339</v>
      </c>
      <c r="AE12" s="22"/>
      <c r="AF12" s="22"/>
      <c r="AG12" s="22"/>
      <c r="AH12" s="23"/>
      <c r="AI12" s="26">
        <v>1356</v>
      </c>
      <c r="AJ12" s="22"/>
      <c r="AK12" s="22"/>
      <c r="AL12" s="22"/>
      <c r="AM12" s="23"/>
      <c r="AN12" s="26">
        <v>1436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509</v>
      </c>
      <c r="F13" s="22"/>
      <c r="G13" s="22"/>
      <c r="H13" s="22"/>
      <c r="I13" s="23"/>
      <c r="J13" s="32">
        <f t="shared" si="0"/>
        <v>0.63624999999999998</v>
      </c>
      <c r="K13" s="22"/>
      <c r="L13" s="22"/>
      <c r="M13" s="22"/>
      <c r="N13" s="23"/>
      <c r="O13" s="32">
        <v>1317</v>
      </c>
      <c r="P13" s="22"/>
      <c r="Q13" s="22"/>
      <c r="R13" s="22"/>
      <c r="S13" s="23"/>
      <c r="T13" s="36">
        <v>509</v>
      </c>
      <c r="U13" s="22"/>
      <c r="V13" s="22"/>
      <c r="W13" s="22"/>
      <c r="X13" s="23"/>
      <c r="Y13" s="24">
        <f t="shared" si="1"/>
        <v>0.67849700000000002</v>
      </c>
      <c r="Z13" s="22"/>
      <c r="AA13" s="22"/>
      <c r="AB13" s="22"/>
      <c r="AC13" s="23"/>
      <c r="AD13" s="24">
        <v>1340</v>
      </c>
      <c r="AE13" s="22"/>
      <c r="AF13" s="22"/>
      <c r="AG13" s="22"/>
      <c r="AH13" s="23"/>
      <c r="AI13" s="26">
        <v>1357</v>
      </c>
      <c r="AJ13" s="22"/>
      <c r="AK13" s="22"/>
      <c r="AL13" s="22"/>
      <c r="AM13" s="23"/>
      <c r="AN13" s="26">
        <v>1437</v>
      </c>
      <c r="AO13" s="22"/>
      <c r="AP13" s="22"/>
      <c r="AQ13" s="22"/>
      <c r="AR13" s="23"/>
      <c r="AS13" s="26"/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296</v>
      </c>
      <c r="F14" s="22"/>
      <c r="G14" s="22"/>
      <c r="H14" s="22"/>
      <c r="I14" s="23"/>
      <c r="J14" s="32">
        <f t="shared" si="0"/>
        <v>0.37</v>
      </c>
      <c r="K14" s="22"/>
      <c r="L14" s="22"/>
      <c r="M14" s="22"/>
      <c r="N14" s="23"/>
      <c r="O14" s="32">
        <v>1320</v>
      </c>
      <c r="P14" s="22"/>
      <c r="Q14" s="22"/>
      <c r="R14" s="22"/>
      <c r="S14" s="23"/>
      <c r="T14" s="24">
        <v>296</v>
      </c>
      <c r="U14" s="22"/>
      <c r="V14" s="22"/>
      <c r="W14" s="22"/>
      <c r="X14" s="23"/>
      <c r="Y14" s="24">
        <f t="shared" si="1"/>
        <v>0.39456799999999997</v>
      </c>
      <c r="Z14" s="22"/>
      <c r="AA14" s="22"/>
      <c r="AB14" s="22"/>
      <c r="AC14" s="23"/>
      <c r="AD14" s="24">
        <v>1343</v>
      </c>
      <c r="AE14" s="22"/>
      <c r="AF14" s="22"/>
      <c r="AG14" s="22"/>
      <c r="AH14" s="23"/>
      <c r="AI14" s="26">
        <v>1358</v>
      </c>
      <c r="AJ14" s="22"/>
      <c r="AK14" s="22"/>
      <c r="AL14" s="22"/>
      <c r="AM14" s="23"/>
      <c r="AN14" s="26">
        <v>1438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280</v>
      </c>
      <c r="F15" s="22"/>
      <c r="G15" s="22"/>
      <c r="H15" s="22"/>
      <c r="I15" s="23"/>
      <c r="J15" s="32">
        <f t="shared" si="0"/>
        <v>0.35000000000000003</v>
      </c>
      <c r="K15" s="22"/>
      <c r="L15" s="22"/>
      <c r="M15" s="22"/>
      <c r="N15" s="23"/>
      <c r="O15" s="32">
        <v>1322</v>
      </c>
      <c r="P15" s="22"/>
      <c r="Q15" s="22"/>
      <c r="R15" s="22"/>
      <c r="S15" s="23"/>
      <c r="T15" s="24">
        <v>280</v>
      </c>
      <c r="U15" s="22"/>
      <c r="V15" s="22"/>
      <c r="W15" s="22"/>
      <c r="X15" s="23"/>
      <c r="Y15" s="24">
        <f t="shared" si="1"/>
        <v>0.37324000000000002</v>
      </c>
      <c r="Z15" s="22"/>
      <c r="AA15" s="22"/>
      <c r="AB15" s="22"/>
      <c r="AC15" s="23"/>
      <c r="AD15" s="24">
        <v>1346</v>
      </c>
      <c r="AE15" s="22"/>
      <c r="AF15" s="22"/>
      <c r="AG15" s="22"/>
      <c r="AH15" s="23"/>
      <c r="AI15" s="26">
        <v>1359</v>
      </c>
      <c r="AJ15" s="22"/>
      <c r="AK15" s="22"/>
      <c r="AL15" s="22"/>
      <c r="AM15" s="23"/>
      <c r="AN15" s="26">
        <v>1439</v>
      </c>
      <c r="AO15" s="22"/>
      <c r="AP15" s="22"/>
      <c r="AQ15" s="22"/>
      <c r="AR15" s="23"/>
      <c r="AS15" s="26"/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459</v>
      </c>
      <c r="F16" s="22"/>
      <c r="G16" s="22"/>
      <c r="H16" s="22"/>
      <c r="I16" s="23"/>
      <c r="J16" s="32">
        <f t="shared" si="0"/>
        <v>0.57374999999999998</v>
      </c>
      <c r="K16" s="22"/>
      <c r="L16" s="22"/>
      <c r="M16" s="22"/>
      <c r="N16" s="23"/>
      <c r="O16" s="32">
        <v>1323</v>
      </c>
      <c r="P16" s="22"/>
      <c r="Q16" s="22"/>
      <c r="R16" s="22"/>
      <c r="S16" s="23"/>
      <c r="T16" s="24">
        <v>459</v>
      </c>
      <c r="U16" s="22"/>
      <c r="V16" s="22"/>
      <c r="W16" s="22"/>
      <c r="X16" s="23"/>
      <c r="Y16" s="24">
        <f t="shared" si="1"/>
        <v>0.61184700000000003</v>
      </c>
      <c r="Z16" s="22"/>
      <c r="AA16" s="22"/>
      <c r="AB16" s="22"/>
      <c r="AC16" s="23"/>
      <c r="AD16" s="24">
        <v>1347</v>
      </c>
      <c r="AE16" s="22"/>
      <c r="AF16" s="22"/>
      <c r="AG16" s="22"/>
      <c r="AH16" s="23"/>
      <c r="AI16" s="26">
        <v>1360</v>
      </c>
      <c r="AJ16" s="22"/>
      <c r="AK16" s="22"/>
      <c r="AL16" s="22"/>
      <c r="AM16" s="23"/>
      <c r="AN16" s="26">
        <v>1440</v>
      </c>
      <c r="AO16" s="22"/>
      <c r="AP16" s="22"/>
      <c r="AQ16" s="22"/>
      <c r="AR16" s="23"/>
      <c r="AS16" s="26"/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230</v>
      </c>
      <c r="F17" s="22"/>
      <c r="G17" s="22"/>
      <c r="H17" s="22"/>
      <c r="I17" s="23"/>
      <c r="J17" s="32">
        <f t="shared" si="0"/>
        <v>0.28750000000000003</v>
      </c>
      <c r="K17" s="22"/>
      <c r="L17" s="22"/>
      <c r="M17" s="22"/>
      <c r="N17" s="23"/>
      <c r="O17" s="32">
        <v>1417</v>
      </c>
      <c r="P17" s="22"/>
      <c r="Q17" s="22"/>
      <c r="R17" s="22"/>
      <c r="S17" s="23"/>
      <c r="T17" s="24">
        <v>230</v>
      </c>
      <c r="U17" s="22"/>
      <c r="V17" s="22"/>
      <c r="W17" s="22"/>
      <c r="X17" s="23"/>
      <c r="Y17" s="24">
        <f t="shared" si="1"/>
        <v>0.30658999999999997</v>
      </c>
      <c r="Z17" s="22"/>
      <c r="AA17" s="22"/>
      <c r="AB17" s="22"/>
      <c r="AC17" s="23"/>
      <c r="AD17" s="24">
        <v>1458</v>
      </c>
      <c r="AE17" s="22"/>
      <c r="AF17" s="22"/>
      <c r="AG17" s="22"/>
      <c r="AH17" s="23"/>
      <c r="AI17" s="26">
        <v>1511</v>
      </c>
      <c r="AJ17" s="22"/>
      <c r="AK17" s="22"/>
      <c r="AL17" s="22"/>
      <c r="AM17" s="23"/>
      <c r="AN17" s="26">
        <v>1551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>
        <v>475</v>
      </c>
      <c r="F18" s="22"/>
      <c r="G18" s="22"/>
      <c r="H18" s="22"/>
      <c r="I18" s="23"/>
      <c r="J18" s="32">
        <f t="shared" ref="J18:J25" si="2">E18*0.0012</f>
        <v>0.56999999999999995</v>
      </c>
      <c r="K18" s="22"/>
      <c r="L18" s="22"/>
      <c r="M18" s="22"/>
      <c r="N18" s="23"/>
      <c r="O18" s="31">
        <v>1041</v>
      </c>
      <c r="P18" s="22"/>
      <c r="Q18" s="22"/>
      <c r="R18" s="22"/>
      <c r="S18" s="23"/>
      <c r="T18" s="25">
        <v>475</v>
      </c>
      <c r="U18" s="22"/>
      <c r="V18" s="22"/>
      <c r="W18" s="22"/>
      <c r="X18" s="23"/>
      <c r="Y18" s="24">
        <f t="shared" si="1"/>
        <v>0.63317500000000004</v>
      </c>
      <c r="Z18" s="22"/>
      <c r="AA18" s="22"/>
      <c r="AB18" s="22"/>
      <c r="AC18" s="23"/>
      <c r="AD18" s="25">
        <v>1059</v>
      </c>
      <c r="AE18" s="22"/>
      <c r="AF18" s="22"/>
      <c r="AG18" s="22"/>
      <c r="AH18" s="23"/>
      <c r="AI18" s="21">
        <v>1119</v>
      </c>
      <c r="AJ18" s="22"/>
      <c r="AK18" s="22"/>
      <c r="AL18" s="22"/>
      <c r="AM18" s="23"/>
      <c r="AN18" s="21">
        <v>1158</v>
      </c>
      <c r="AO18" s="22"/>
      <c r="AP18" s="22"/>
      <c r="AQ18" s="22"/>
      <c r="AR18" s="23"/>
      <c r="AS18" s="21"/>
      <c r="AT18" s="22"/>
      <c r="AU18" s="22"/>
      <c r="AV18" s="22"/>
      <c r="AW18" s="23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>
        <v>413</v>
      </c>
      <c r="F19" s="22"/>
      <c r="G19" s="22"/>
      <c r="H19" s="22"/>
      <c r="I19" s="23"/>
      <c r="J19" s="32">
        <f t="shared" si="2"/>
        <v>0.49559999999999993</v>
      </c>
      <c r="K19" s="22"/>
      <c r="L19" s="22"/>
      <c r="M19" s="22"/>
      <c r="N19" s="23"/>
      <c r="O19" s="31">
        <v>1042</v>
      </c>
      <c r="P19" s="22"/>
      <c r="Q19" s="22"/>
      <c r="R19" s="22"/>
      <c r="S19" s="23"/>
      <c r="T19" s="34">
        <v>413</v>
      </c>
      <c r="U19" s="22"/>
      <c r="V19" s="22"/>
      <c r="W19" s="22"/>
      <c r="X19" s="23"/>
      <c r="Y19" s="24">
        <f t="shared" si="1"/>
        <v>0.55052900000000005</v>
      </c>
      <c r="Z19" s="22"/>
      <c r="AA19" s="22"/>
      <c r="AB19" s="22"/>
      <c r="AC19" s="23"/>
      <c r="AD19" s="25">
        <v>1100</v>
      </c>
      <c r="AE19" s="22"/>
      <c r="AF19" s="22"/>
      <c r="AG19" s="22"/>
      <c r="AH19" s="23"/>
      <c r="AI19" s="21">
        <v>1120</v>
      </c>
      <c r="AJ19" s="22"/>
      <c r="AK19" s="22"/>
      <c r="AL19" s="22"/>
      <c r="AM19" s="23"/>
      <c r="AN19" s="21">
        <v>1159</v>
      </c>
      <c r="AO19" s="22"/>
      <c r="AP19" s="22"/>
      <c r="AQ19" s="22"/>
      <c r="AR19" s="23"/>
      <c r="AS19" s="21"/>
      <c r="AT19" s="22"/>
      <c r="AU19" s="22"/>
      <c r="AV19" s="22"/>
      <c r="AW19" s="23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>
        <v>269</v>
      </c>
      <c r="F20" s="22"/>
      <c r="G20" s="22"/>
      <c r="H20" s="22"/>
      <c r="I20" s="23"/>
      <c r="J20" s="32">
        <f t="shared" si="2"/>
        <v>0.32279999999999998</v>
      </c>
      <c r="K20" s="22"/>
      <c r="L20" s="22"/>
      <c r="M20" s="22"/>
      <c r="N20" s="23"/>
      <c r="O20" s="31">
        <v>1044</v>
      </c>
      <c r="P20" s="22"/>
      <c r="Q20" s="22"/>
      <c r="R20" s="22"/>
      <c r="S20" s="23"/>
      <c r="T20" s="34">
        <v>269</v>
      </c>
      <c r="U20" s="22"/>
      <c r="V20" s="22"/>
      <c r="W20" s="22"/>
      <c r="X20" s="23"/>
      <c r="Y20" s="24">
        <f t="shared" si="1"/>
        <v>0.35857699999999998</v>
      </c>
      <c r="Z20" s="22"/>
      <c r="AA20" s="22"/>
      <c r="AB20" s="22"/>
      <c r="AC20" s="23"/>
      <c r="AD20" s="25">
        <v>1102</v>
      </c>
      <c r="AE20" s="22"/>
      <c r="AF20" s="22"/>
      <c r="AG20" s="22"/>
      <c r="AH20" s="23"/>
      <c r="AI20" s="21">
        <v>1121</v>
      </c>
      <c r="AJ20" s="22"/>
      <c r="AK20" s="22"/>
      <c r="AL20" s="22"/>
      <c r="AM20" s="23"/>
      <c r="AN20" s="21">
        <v>1200</v>
      </c>
      <c r="AO20" s="22"/>
      <c r="AP20" s="22"/>
      <c r="AQ20" s="22"/>
      <c r="AR20" s="23"/>
      <c r="AS20" s="21"/>
      <c r="AT20" s="22"/>
      <c r="AU20" s="22"/>
      <c r="AV20" s="22"/>
      <c r="AW20" s="23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>
        <v>275</v>
      </c>
      <c r="F21" s="22"/>
      <c r="G21" s="22"/>
      <c r="H21" s="22"/>
      <c r="I21" s="23"/>
      <c r="J21" s="32">
        <f t="shared" si="2"/>
        <v>0.32999999999999996</v>
      </c>
      <c r="K21" s="22"/>
      <c r="L21" s="22"/>
      <c r="M21" s="22"/>
      <c r="N21" s="23"/>
      <c r="O21" s="31">
        <v>1045</v>
      </c>
      <c r="P21" s="22"/>
      <c r="Q21" s="22"/>
      <c r="R21" s="22"/>
      <c r="S21" s="23"/>
      <c r="T21" s="34">
        <v>275</v>
      </c>
      <c r="U21" s="22"/>
      <c r="V21" s="22"/>
      <c r="W21" s="22"/>
      <c r="X21" s="23"/>
      <c r="Y21" s="24">
        <f t="shared" si="1"/>
        <v>0.36657499999999998</v>
      </c>
      <c r="Z21" s="22"/>
      <c r="AA21" s="22"/>
      <c r="AB21" s="22"/>
      <c r="AC21" s="23"/>
      <c r="AD21" s="25">
        <v>1103</v>
      </c>
      <c r="AE21" s="22"/>
      <c r="AF21" s="22"/>
      <c r="AG21" s="22"/>
      <c r="AH21" s="23"/>
      <c r="AI21" s="21">
        <v>1122</v>
      </c>
      <c r="AJ21" s="22"/>
      <c r="AK21" s="22"/>
      <c r="AL21" s="22"/>
      <c r="AM21" s="23"/>
      <c r="AN21" s="21">
        <v>1201</v>
      </c>
      <c r="AO21" s="22"/>
      <c r="AP21" s="22"/>
      <c r="AQ21" s="22"/>
      <c r="AR21" s="23"/>
      <c r="AS21" s="21"/>
      <c r="AT21" s="22"/>
      <c r="AU21" s="22"/>
      <c r="AV21" s="22"/>
      <c r="AW21" s="23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>
        <v>305</v>
      </c>
      <c r="F22" s="22"/>
      <c r="G22" s="22"/>
      <c r="H22" s="22"/>
      <c r="I22" s="23"/>
      <c r="J22" s="32">
        <f t="shared" si="2"/>
        <v>0.36599999999999999</v>
      </c>
      <c r="K22" s="22"/>
      <c r="L22" s="22"/>
      <c r="M22" s="22"/>
      <c r="N22" s="23"/>
      <c r="O22" s="31">
        <v>1046</v>
      </c>
      <c r="P22" s="22"/>
      <c r="Q22" s="22"/>
      <c r="R22" s="22"/>
      <c r="S22" s="23"/>
      <c r="T22" s="25">
        <v>305</v>
      </c>
      <c r="U22" s="22"/>
      <c r="V22" s="22"/>
      <c r="W22" s="22"/>
      <c r="X22" s="23"/>
      <c r="Y22" s="24">
        <f t="shared" si="1"/>
        <v>0.40656500000000001</v>
      </c>
      <c r="Z22" s="22"/>
      <c r="AA22" s="22"/>
      <c r="AB22" s="22"/>
      <c r="AC22" s="23"/>
      <c r="AD22" s="25">
        <v>1104</v>
      </c>
      <c r="AE22" s="22"/>
      <c r="AF22" s="22"/>
      <c r="AG22" s="22"/>
      <c r="AH22" s="23"/>
      <c r="AI22" s="21">
        <v>1123</v>
      </c>
      <c r="AJ22" s="22"/>
      <c r="AK22" s="22"/>
      <c r="AL22" s="22"/>
      <c r="AM22" s="23"/>
      <c r="AN22" s="21">
        <v>1202</v>
      </c>
      <c r="AO22" s="22"/>
      <c r="AP22" s="22"/>
      <c r="AQ22" s="22"/>
      <c r="AR22" s="23"/>
      <c r="AS22" s="21"/>
      <c r="AT22" s="22"/>
      <c r="AU22" s="22"/>
      <c r="AV22" s="22"/>
      <c r="AW22" s="23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>
        <v>273</v>
      </c>
      <c r="F23" s="22"/>
      <c r="G23" s="22"/>
      <c r="H23" s="22"/>
      <c r="I23" s="23"/>
      <c r="J23" s="32">
        <f t="shared" si="2"/>
        <v>0.32759999999999995</v>
      </c>
      <c r="K23" s="22"/>
      <c r="L23" s="22"/>
      <c r="M23" s="22"/>
      <c r="N23" s="23"/>
      <c r="O23" s="31">
        <v>1141</v>
      </c>
      <c r="P23" s="22"/>
      <c r="Q23" s="22"/>
      <c r="R23" s="22"/>
      <c r="S23" s="23"/>
      <c r="T23" s="25">
        <v>273</v>
      </c>
      <c r="U23" s="22"/>
      <c r="V23" s="22"/>
      <c r="W23" s="22"/>
      <c r="X23" s="23"/>
      <c r="Y23" s="24">
        <f t="shared" si="1"/>
        <v>0.36390899999999998</v>
      </c>
      <c r="Z23" s="22"/>
      <c r="AA23" s="22"/>
      <c r="AB23" s="22"/>
      <c r="AC23" s="23"/>
      <c r="AD23" s="25">
        <v>1157</v>
      </c>
      <c r="AE23" s="22"/>
      <c r="AF23" s="22"/>
      <c r="AG23" s="22"/>
      <c r="AH23" s="23"/>
      <c r="AI23" s="21">
        <v>1219</v>
      </c>
      <c r="AJ23" s="22"/>
      <c r="AK23" s="22"/>
      <c r="AL23" s="22"/>
      <c r="AM23" s="23"/>
      <c r="AN23" s="21">
        <v>1259</v>
      </c>
      <c r="AO23" s="22"/>
      <c r="AP23" s="22"/>
      <c r="AQ23" s="22"/>
      <c r="AR23" s="23"/>
      <c r="AS23" s="21"/>
      <c r="AT23" s="22"/>
      <c r="AU23" s="22"/>
      <c r="AV23" s="22"/>
      <c r="AW23" s="23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>
        <v>425</v>
      </c>
      <c r="F24" s="22"/>
      <c r="G24" s="22"/>
      <c r="H24" s="22"/>
      <c r="I24" s="23"/>
      <c r="J24" s="32">
        <f t="shared" si="2"/>
        <v>0.51</v>
      </c>
      <c r="K24" s="22"/>
      <c r="L24" s="22"/>
      <c r="M24" s="22"/>
      <c r="N24" s="23"/>
      <c r="O24" s="31">
        <v>1143</v>
      </c>
      <c r="P24" s="22"/>
      <c r="Q24" s="22"/>
      <c r="R24" s="22"/>
      <c r="S24" s="23"/>
      <c r="T24" s="25">
        <v>425</v>
      </c>
      <c r="U24" s="22"/>
      <c r="V24" s="22"/>
      <c r="W24" s="22"/>
      <c r="X24" s="23"/>
      <c r="Y24" s="24">
        <f t="shared" si="1"/>
        <v>0.56652499999999995</v>
      </c>
      <c r="Z24" s="22"/>
      <c r="AA24" s="22"/>
      <c r="AB24" s="22"/>
      <c r="AC24" s="23"/>
      <c r="AD24" s="25">
        <v>1200</v>
      </c>
      <c r="AE24" s="22"/>
      <c r="AF24" s="22"/>
      <c r="AG24" s="22"/>
      <c r="AH24" s="23"/>
      <c r="AI24" s="21">
        <v>1220</v>
      </c>
      <c r="AJ24" s="22"/>
      <c r="AK24" s="22"/>
      <c r="AL24" s="22"/>
      <c r="AM24" s="23"/>
      <c r="AN24" s="21">
        <v>1300</v>
      </c>
      <c r="AO24" s="22"/>
      <c r="AP24" s="22"/>
      <c r="AQ24" s="22"/>
      <c r="AR24" s="23"/>
      <c r="AS24" s="21"/>
      <c r="AT24" s="22"/>
      <c r="AU24" s="22"/>
      <c r="AV24" s="22"/>
      <c r="AW24" s="23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>
        <v>283</v>
      </c>
      <c r="F25" s="22"/>
      <c r="G25" s="22"/>
      <c r="H25" s="22"/>
      <c r="I25" s="23"/>
      <c r="J25" s="32">
        <f t="shared" si="2"/>
        <v>0.33959999999999996</v>
      </c>
      <c r="K25" s="22"/>
      <c r="L25" s="22"/>
      <c r="M25" s="22"/>
      <c r="N25" s="23"/>
      <c r="O25" s="31">
        <v>1144</v>
      </c>
      <c r="P25" s="22"/>
      <c r="Q25" s="22"/>
      <c r="R25" s="22"/>
      <c r="S25" s="23"/>
      <c r="T25" s="25">
        <v>283</v>
      </c>
      <c r="U25" s="22"/>
      <c r="V25" s="22"/>
      <c r="W25" s="22"/>
      <c r="X25" s="23"/>
      <c r="Y25" s="24">
        <f t="shared" si="1"/>
        <v>0.37723899999999999</v>
      </c>
      <c r="Z25" s="22"/>
      <c r="AA25" s="22"/>
      <c r="AB25" s="22"/>
      <c r="AC25" s="23"/>
      <c r="AD25" s="25">
        <v>1203</v>
      </c>
      <c r="AE25" s="22"/>
      <c r="AF25" s="22"/>
      <c r="AG25" s="22"/>
      <c r="AH25" s="23"/>
      <c r="AI25" s="21">
        <v>1221</v>
      </c>
      <c r="AJ25" s="22"/>
      <c r="AK25" s="22"/>
      <c r="AL25" s="22"/>
      <c r="AM25" s="23"/>
      <c r="AN25" s="21">
        <v>1301</v>
      </c>
      <c r="AO25" s="22"/>
      <c r="AP25" s="22"/>
      <c r="AQ25" s="22"/>
      <c r="AR25" s="23"/>
      <c r="AS25" s="21"/>
      <c r="AT25" s="22"/>
      <c r="AU25" s="22"/>
      <c r="AV25" s="22"/>
      <c r="AW25" s="23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286</v>
      </c>
      <c r="F26" s="22"/>
      <c r="G26" s="22"/>
      <c r="H26" s="22"/>
      <c r="I26" s="23"/>
      <c r="J26" s="32">
        <f t="shared" ref="J26:J39" si="3">E26*0.00125</f>
        <v>0.35749999999999998</v>
      </c>
      <c r="K26" s="22"/>
      <c r="L26" s="22"/>
      <c r="M26" s="22"/>
      <c r="N26" s="23"/>
      <c r="O26" s="31">
        <v>909</v>
      </c>
      <c r="P26" s="22"/>
      <c r="Q26" s="22"/>
      <c r="R26" s="22"/>
      <c r="S26" s="23"/>
      <c r="T26" s="25">
        <v>286</v>
      </c>
      <c r="U26" s="22"/>
      <c r="V26" s="22"/>
      <c r="W26" s="22"/>
      <c r="X26" s="23"/>
      <c r="Y26" s="24">
        <f t="shared" si="1"/>
        <v>0.38123800000000002</v>
      </c>
      <c r="Z26" s="22"/>
      <c r="AA26" s="22"/>
      <c r="AB26" s="22"/>
      <c r="AC26" s="23"/>
      <c r="AD26" s="25">
        <v>924</v>
      </c>
      <c r="AE26" s="22"/>
      <c r="AF26" s="22"/>
      <c r="AG26" s="22"/>
      <c r="AH26" s="23"/>
      <c r="AI26" s="21">
        <v>940</v>
      </c>
      <c r="AJ26" s="22"/>
      <c r="AK26" s="22"/>
      <c r="AL26" s="22"/>
      <c r="AM26" s="23"/>
      <c r="AN26" s="21">
        <v>1020</v>
      </c>
      <c r="AO26" s="22"/>
      <c r="AP26" s="22"/>
      <c r="AQ26" s="22"/>
      <c r="AR26" s="23"/>
      <c r="AS26" s="21"/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275</v>
      </c>
      <c r="F27" s="22"/>
      <c r="G27" s="22"/>
      <c r="H27" s="22"/>
      <c r="I27" s="23"/>
      <c r="J27" s="32">
        <f t="shared" si="3"/>
        <v>0.34375</v>
      </c>
      <c r="K27" s="22"/>
      <c r="L27" s="22"/>
      <c r="M27" s="22"/>
      <c r="N27" s="23"/>
      <c r="O27" s="31">
        <v>1545</v>
      </c>
      <c r="P27" s="22"/>
      <c r="Q27" s="22"/>
      <c r="R27" s="22"/>
      <c r="S27" s="23"/>
      <c r="T27" s="34">
        <v>275</v>
      </c>
      <c r="U27" s="22"/>
      <c r="V27" s="22"/>
      <c r="W27" s="22"/>
      <c r="X27" s="23"/>
      <c r="Y27" s="24">
        <f t="shared" si="1"/>
        <v>0.36657499999999998</v>
      </c>
      <c r="Z27" s="22"/>
      <c r="AA27" s="22"/>
      <c r="AB27" s="22"/>
      <c r="AC27" s="23"/>
      <c r="AD27" s="25">
        <v>1608</v>
      </c>
      <c r="AE27" s="22"/>
      <c r="AF27" s="22"/>
      <c r="AG27" s="22"/>
      <c r="AH27" s="23"/>
      <c r="AI27" s="21">
        <v>1628</v>
      </c>
      <c r="AJ27" s="22"/>
      <c r="AK27" s="22"/>
      <c r="AL27" s="22"/>
      <c r="AM27" s="23"/>
      <c r="AN27" s="21">
        <v>1708</v>
      </c>
      <c r="AO27" s="22"/>
      <c r="AP27" s="22"/>
      <c r="AQ27" s="22"/>
      <c r="AR27" s="23"/>
      <c r="AS27" s="21"/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268</v>
      </c>
      <c r="F28" s="22"/>
      <c r="G28" s="22"/>
      <c r="H28" s="22"/>
      <c r="I28" s="23"/>
      <c r="J28" s="32">
        <f t="shared" si="3"/>
        <v>0.33500000000000002</v>
      </c>
      <c r="K28" s="22"/>
      <c r="L28" s="22"/>
      <c r="M28" s="22"/>
      <c r="N28" s="23"/>
      <c r="O28" s="31">
        <v>1658</v>
      </c>
      <c r="P28" s="22"/>
      <c r="Q28" s="22"/>
      <c r="R28" s="22"/>
      <c r="S28" s="23"/>
      <c r="T28" s="33">
        <v>268</v>
      </c>
      <c r="U28" s="22"/>
      <c r="V28" s="22"/>
      <c r="W28" s="22"/>
      <c r="X28" s="23"/>
      <c r="Y28" s="24">
        <f t="shared" si="1"/>
        <v>0.35724400000000001</v>
      </c>
      <c r="Z28" s="22"/>
      <c r="AA28" s="22"/>
      <c r="AB28" s="22"/>
      <c r="AC28" s="23"/>
      <c r="AD28" s="25">
        <v>1715</v>
      </c>
      <c r="AE28" s="22"/>
      <c r="AF28" s="22"/>
      <c r="AG28" s="22"/>
      <c r="AH28" s="23"/>
      <c r="AI28" s="21">
        <v>1744</v>
      </c>
      <c r="AJ28" s="22"/>
      <c r="AK28" s="22"/>
      <c r="AL28" s="22"/>
      <c r="AM28" s="23"/>
      <c r="AN28" s="21">
        <v>1824</v>
      </c>
      <c r="AO28" s="22"/>
      <c r="AP28" s="22"/>
      <c r="AQ28" s="22"/>
      <c r="AR28" s="23"/>
      <c r="AS28" s="21"/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260</v>
      </c>
      <c r="F29" s="22"/>
      <c r="G29" s="22"/>
      <c r="H29" s="22"/>
      <c r="I29" s="23"/>
      <c r="J29" s="32">
        <f t="shared" si="3"/>
        <v>0.32500000000000001</v>
      </c>
      <c r="K29" s="22"/>
      <c r="L29" s="22"/>
      <c r="M29" s="22"/>
      <c r="N29" s="23"/>
      <c r="O29" s="31">
        <v>1659</v>
      </c>
      <c r="P29" s="22"/>
      <c r="Q29" s="22"/>
      <c r="R29" s="22"/>
      <c r="S29" s="23"/>
      <c r="T29" s="33">
        <v>260</v>
      </c>
      <c r="U29" s="22"/>
      <c r="V29" s="22"/>
      <c r="W29" s="22"/>
      <c r="X29" s="23"/>
      <c r="Y29" s="24">
        <f t="shared" si="1"/>
        <v>0.34658</v>
      </c>
      <c r="Z29" s="22"/>
      <c r="AA29" s="22"/>
      <c r="AB29" s="22"/>
      <c r="AC29" s="23"/>
      <c r="AD29" s="25">
        <v>1716</v>
      </c>
      <c r="AE29" s="22"/>
      <c r="AF29" s="22"/>
      <c r="AG29" s="22"/>
      <c r="AH29" s="23"/>
      <c r="AI29" s="21">
        <v>1745</v>
      </c>
      <c r="AJ29" s="22"/>
      <c r="AK29" s="22"/>
      <c r="AL29" s="22"/>
      <c r="AM29" s="23"/>
      <c r="AN29" s="21">
        <v>1825</v>
      </c>
      <c r="AO29" s="22"/>
      <c r="AP29" s="22"/>
      <c r="AQ29" s="22"/>
      <c r="AR29" s="23"/>
      <c r="AS29" s="21"/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299</v>
      </c>
      <c r="F30" s="22"/>
      <c r="G30" s="22"/>
      <c r="H30" s="22"/>
      <c r="I30" s="23"/>
      <c r="J30" s="32">
        <f t="shared" si="3"/>
        <v>0.37375000000000003</v>
      </c>
      <c r="K30" s="22"/>
      <c r="L30" s="22"/>
      <c r="M30" s="22"/>
      <c r="N30" s="23"/>
      <c r="O30" s="31">
        <v>1700</v>
      </c>
      <c r="P30" s="22"/>
      <c r="Q30" s="22"/>
      <c r="R30" s="22"/>
      <c r="S30" s="23"/>
      <c r="T30" s="31">
        <v>299</v>
      </c>
      <c r="U30" s="22"/>
      <c r="V30" s="22"/>
      <c r="W30" s="22"/>
      <c r="X30" s="23"/>
      <c r="Y30" s="24">
        <f t="shared" si="1"/>
        <v>0.398567</v>
      </c>
      <c r="Z30" s="22"/>
      <c r="AA30" s="22"/>
      <c r="AB30" s="22"/>
      <c r="AC30" s="23"/>
      <c r="AD30" s="25">
        <v>1717</v>
      </c>
      <c r="AE30" s="22"/>
      <c r="AF30" s="22"/>
      <c r="AG30" s="22"/>
      <c r="AH30" s="23"/>
      <c r="AI30" s="21">
        <v>1746</v>
      </c>
      <c r="AJ30" s="22"/>
      <c r="AK30" s="22"/>
      <c r="AL30" s="22"/>
      <c r="AM30" s="23"/>
      <c r="AN30" s="21">
        <v>1826</v>
      </c>
      <c r="AO30" s="22"/>
      <c r="AP30" s="22"/>
      <c r="AQ30" s="22"/>
      <c r="AR30" s="23"/>
      <c r="AS30" s="21"/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283</v>
      </c>
      <c r="F31" s="22"/>
      <c r="G31" s="22"/>
      <c r="H31" s="22"/>
      <c r="I31" s="23"/>
      <c r="J31" s="32">
        <f t="shared" si="3"/>
        <v>0.35375000000000001</v>
      </c>
      <c r="K31" s="22"/>
      <c r="L31" s="22"/>
      <c r="M31" s="22"/>
      <c r="N31" s="23"/>
      <c r="O31" s="31">
        <v>1701</v>
      </c>
      <c r="P31" s="22"/>
      <c r="Q31" s="22"/>
      <c r="R31" s="22"/>
      <c r="S31" s="23"/>
      <c r="T31" s="31">
        <v>283</v>
      </c>
      <c r="U31" s="22"/>
      <c r="V31" s="22"/>
      <c r="W31" s="22"/>
      <c r="X31" s="23"/>
      <c r="Y31" s="24">
        <f t="shared" si="1"/>
        <v>0.37723899999999999</v>
      </c>
      <c r="Z31" s="22"/>
      <c r="AA31" s="22"/>
      <c r="AB31" s="22"/>
      <c r="AC31" s="23"/>
      <c r="AD31" s="25">
        <v>1718</v>
      </c>
      <c r="AE31" s="22"/>
      <c r="AF31" s="22"/>
      <c r="AG31" s="22"/>
      <c r="AH31" s="23"/>
      <c r="AI31" s="21">
        <v>1747</v>
      </c>
      <c r="AJ31" s="22"/>
      <c r="AK31" s="22"/>
      <c r="AL31" s="22"/>
      <c r="AM31" s="23"/>
      <c r="AN31" s="21">
        <v>1827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290</v>
      </c>
      <c r="F32" s="22"/>
      <c r="G32" s="22"/>
      <c r="H32" s="22"/>
      <c r="I32" s="23"/>
      <c r="J32" s="32">
        <f t="shared" si="3"/>
        <v>0.36249999999999999</v>
      </c>
      <c r="K32" s="22"/>
      <c r="L32" s="22"/>
      <c r="M32" s="22"/>
      <c r="N32" s="23"/>
      <c r="O32" s="31">
        <v>1703</v>
      </c>
      <c r="P32" s="22"/>
      <c r="Q32" s="22"/>
      <c r="R32" s="22"/>
      <c r="S32" s="23"/>
      <c r="T32" s="31">
        <v>290</v>
      </c>
      <c r="U32" s="22"/>
      <c r="V32" s="22"/>
      <c r="W32" s="22"/>
      <c r="X32" s="23"/>
      <c r="Y32" s="24">
        <f t="shared" si="1"/>
        <v>0.38656999999999997</v>
      </c>
      <c r="Z32" s="22"/>
      <c r="AA32" s="22"/>
      <c r="AB32" s="22"/>
      <c r="AC32" s="23"/>
      <c r="AD32" s="25">
        <v>1719</v>
      </c>
      <c r="AE32" s="22"/>
      <c r="AF32" s="22"/>
      <c r="AG32" s="22"/>
      <c r="AH32" s="23"/>
      <c r="AI32" s="21">
        <v>1748</v>
      </c>
      <c r="AJ32" s="22"/>
      <c r="AK32" s="22"/>
      <c r="AL32" s="22"/>
      <c r="AM32" s="23"/>
      <c r="AN32" s="21">
        <v>1828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432</v>
      </c>
      <c r="F33" s="22"/>
      <c r="G33" s="22"/>
      <c r="H33" s="22"/>
      <c r="I33" s="23"/>
      <c r="J33" s="32">
        <f t="shared" si="3"/>
        <v>0.54</v>
      </c>
      <c r="K33" s="22"/>
      <c r="L33" s="22"/>
      <c r="M33" s="22"/>
      <c r="N33" s="23"/>
      <c r="O33" s="41">
        <v>810</v>
      </c>
      <c r="P33" s="22"/>
      <c r="Q33" s="22"/>
      <c r="R33" s="22"/>
      <c r="S33" s="23"/>
      <c r="T33" s="25">
        <v>432</v>
      </c>
      <c r="U33" s="22"/>
      <c r="V33" s="22"/>
      <c r="W33" s="22"/>
      <c r="X33" s="23"/>
      <c r="Y33" s="24">
        <f t="shared" si="1"/>
        <v>0.57585600000000003</v>
      </c>
      <c r="Z33" s="22"/>
      <c r="AA33" s="22"/>
      <c r="AB33" s="22"/>
      <c r="AC33" s="23"/>
      <c r="AD33" s="25">
        <v>827</v>
      </c>
      <c r="AE33" s="22"/>
      <c r="AF33" s="22"/>
      <c r="AG33" s="22"/>
      <c r="AH33" s="23"/>
      <c r="AI33" s="21">
        <v>844</v>
      </c>
      <c r="AJ33" s="22"/>
      <c r="AK33" s="22"/>
      <c r="AL33" s="22"/>
      <c r="AM33" s="23"/>
      <c r="AN33" s="21">
        <v>924</v>
      </c>
      <c r="AO33" s="22"/>
      <c r="AP33" s="22"/>
      <c r="AQ33" s="22"/>
      <c r="AR33" s="23"/>
      <c r="AS33" s="30" t="s">
        <v>132</v>
      </c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285</v>
      </c>
      <c r="F34" s="22"/>
      <c r="G34" s="22"/>
      <c r="H34" s="22"/>
      <c r="I34" s="23"/>
      <c r="J34" s="32">
        <f t="shared" si="3"/>
        <v>0.35625000000000001</v>
      </c>
      <c r="K34" s="22"/>
      <c r="L34" s="22"/>
      <c r="M34" s="22"/>
      <c r="N34" s="23"/>
      <c r="O34" s="41">
        <v>811</v>
      </c>
      <c r="P34" s="22"/>
      <c r="Q34" s="22"/>
      <c r="R34" s="22"/>
      <c r="S34" s="23"/>
      <c r="T34" s="34">
        <v>285</v>
      </c>
      <c r="U34" s="22"/>
      <c r="V34" s="22"/>
      <c r="W34" s="22"/>
      <c r="X34" s="23"/>
      <c r="Y34" s="24">
        <f t="shared" si="1"/>
        <v>0.37990499999999999</v>
      </c>
      <c r="Z34" s="22"/>
      <c r="AA34" s="22"/>
      <c r="AB34" s="22"/>
      <c r="AC34" s="23"/>
      <c r="AD34" s="25">
        <v>828</v>
      </c>
      <c r="AE34" s="22"/>
      <c r="AF34" s="22"/>
      <c r="AG34" s="22"/>
      <c r="AH34" s="23"/>
      <c r="AI34" s="21">
        <v>845</v>
      </c>
      <c r="AJ34" s="22"/>
      <c r="AK34" s="22"/>
      <c r="AL34" s="22"/>
      <c r="AM34" s="23"/>
      <c r="AN34" s="21">
        <v>925</v>
      </c>
      <c r="AO34" s="22"/>
      <c r="AP34" s="22"/>
      <c r="AQ34" s="22"/>
      <c r="AR34" s="23"/>
      <c r="AS34" s="30" t="s">
        <v>132</v>
      </c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281</v>
      </c>
      <c r="F35" s="22"/>
      <c r="G35" s="22"/>
      <c r="H35" s="22"/>
      <c r="I35" s="23"/>
      <c r="J35" s="32">
        <f t="shared" si="3"/>
        <v>0.35125000000000001</v>
      </c>
      <c r="K35" s="22"/>
      <c r="L35" s="22"/>
      <c r="M35" s="22"/>
      <c r="N35" s="23"/>
      <c r="O35" s="31">
        <v>812</v>
      </c>
      <c r="P35" s="22"/>
      <c r="Q35" s="22"/>
      <c r="R35" s="22"/>
      <c r="S35" s="23"/>
      <c r="T35" s="34">
        <v>281</v>
      </c>
      <c r="U35" s="22"/>
      <c r="V35" s="22"/>
      <c r="W35" s="22"/>
      <c r="X35" s="23"/>
      <c r="Y35" s="24">
        <f t="shared" si="1"/>
        <v>0.37457299999999999</v>
      </c>
      <c r="Z35" s="22"/>
      <c r="AA35" s="22"/>
      <c r="AB35" s="22"/>
      <c r="AC35" s="23"/>
      <c r="AD35" s="25">
        <v>829</v>
      </c>
      <c r="AE35" s="22"/>
      <c r="AF35" s="22"/>
      <c r="AG35" s="22"/>
      <c r="AH35" s="23"/>
      <c r="AI35" s="21">
        <v>846</v>
      </c>
      <c r="AJ35" s="22"/>
      <c r="AK35" s="22"/>
      <c r="AL35" s="22"/>
      <c r="AM35" s="23"/>
      <c r="AN35" s="21">
        <v>926</v>
      </c>
      <c r="AO35" s="22"/>
      <c r="AP35" s="22"/>
      <c r="AQ35" s="22"/>
      <c r="AR35" s="23"/>
      <c r="AS35" s="30" t="s">
        <v>132</v>
      </c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248</v>
      </c>
      <c r="F36" s="22"/>
      <c r="G36" s="22"/>
      <c r="H36" s="22"/>
      <c r="I36" s="23"/>
      <c r="J36" s="32">
        <f t="shared" si="3"/>
        <v>0.31</v>
      </c>
      <c r="K36" s="22"/>
      <c r="L36" s="22"/>
      <c r="M36" s="22"/>
      <c r="N36" s="23"/>
      <c r="O36" s="31">
        <v>903</v>
      </c>
      <c r="P36" s="22"/>
      <c r="Q36" s="22"/>
      <c r="R36" s="22"/>
      <c r="S36" s="23"/>
      <c r="T36" s="34">
        <v>248</v>
      </c>
      <c r="U36" s="22"/>
      <c r="V36" s="22"/>
      <c r="W36" s="22"/>
      <c r="X36" s="23"/>
      <c r="Y36" s="24">
        <f t="shared" si="1"/>
        <v>0.33058399999999999</v>
      </c>
      <c r="Z36" s="22"/>
      <c r="AA36" s="22"/>
      <c r="AB36" s="22"/>
      <c r="AC36" s="23"/>
      <c r="AD36" s="25">
        <v>918</v>
      </c>
      <c r="AE36" s="22"/>
      <c r="AF36" s="22"/>
      <c r="AG36" s="22"/>
      <c r="AH36" s="23"/>
      <c r="AI36" s="21">
        <v>936</v>
      </c>
      <c r="AJ36" s="22"/>
      <c r="AK36" s="22"/>
      <c r="AL36" s="22"/>
      <c r="AM36" s="23"/>
      <c r="AN36" s="21">
        <v>1016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447</v>
      </c>
      <c r="F37" s="22"/>
      <c r="G37" s="22"/>
      <c r="H37" s="22"/>
      <c r="I37" s="23"/>
      <c r="J37" s="32">
        <f t="shared" si="3"/>
        <v>0.55874999999999997</v>
      </c>
      <c r="K37" s="22"/>
      <c r="L37" s="22"/>
      <c r="M37" s="22"/>
      <c r="N37" s="23"/>
      <c r="O37" s="31">
        <v>904</v>
      </c>
      <c r="P37" s="22"/>
      <c r="Q37" s="22"/>
      <c r="R37" s="22"/>
      <c r="S37" s="23"/>
      <c r="T37" s="34">
        <v>447</v>
      </c>
      <c r="U37" s="22"/>
      <c r="V37" s="22"/>
      <c r="W37" s="22"/>
      <c r="X37" s="23"/>
      <c r="Y37" s="24">
        <f t="shared" si="1"/>
        <v>0.59585100000000002</v>
      </c>
      <c r="Z37" s="22"/>
      <c r="AA37" s="22"/>
      <c r="AB37" s="22"/>
      <c r="AC37" s="23"/>
      <c r="AD37" s="25">
        <v>920</v>
      </c>
      <c r="AE37" s="22"/>
      <c r="AF37" s="22"/>
      <c r="AG37" s="22"/>
      <c r="AH37" s="23"/>
      <c r="AI37" s="21">
        <v>937</v>
      </c>
      <c r="AJ37" s="22"/>
      <c r="AK37" s="22"/>
      <c r="AL37" s="22"/>
      <c r="AM37" s="23"/>
      <c r="AN37" s="21">
        <v>1017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482</v>
      </c>
      <c r="F38" s="22"/>
      <c r="G38" s="22"/>
      <c r="H38" s="22"/>
      <c r="I38" s="23"/>
      <c r="J38" s="32">
        <f t="shared" si="3"/>
        <v>0.60250000000000004</v>
      </c>
      <c r="K38" s="22"/>
      <c r="L38" s="22"/>
      <c r="M38" s="22"/>
      <c r="N38" s="23"/>
      <c r="O38" s="31">
        <v>906</v>
      </c>
      <c r="P38" s="22"/>
      <c r="Q38" s="22"/>
      <c r="R38" s="22"/>
      <c r="S38" s="23"/>
      <c r="T38" s="34">
        <v>482</v>
      </c>
      <c r="U38" s="22"/>
      <c r="V38" s="22"/>
      <c r="W38" s="22"/>
      <c r="X38" s="23"/>
      <c r="Y38" s="24">
        <f t="shared" si="1"/>
        <v>0.64250600000000002</v>
      </c>
      <c r="Z38" s="22"/>
      <c r="AA38" s="22"/>
      <c r="AB38" s="22"/>
      <c r="AC38" s="23"/>
      <c r="AD38" s="25">
        <v>921</v>
      </c>
      <c r="AE38" s="22"/>
      <c r="AF38" s="22"/>
      <c r="AG38" s="22"/>
      <c r="AH38" s="23"/>
      <c r="AI38" s="21">
        <v>938</v>
      </c>
      <c r="AJ38" s="22"/>
      <c r="AK38" s="22"/>
      <c r="AL38" s="22"/>
      <c r="AM38" s="23"/>
      <c r="AN38" s="21">
        <v>1018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288</v>
      </c>
      <c r="F39" s="22"/>
      <c r="G39" s="22"/>
      <c r="H39" s="22"/>
      <c r="I39" s="23"/>
      <c r="J39" s="32">
        <f t="shared" si="3"/>
        <v>0.36</v>
      </c>
      <c r="K39" s="22"/>
      <c r="L39" s="22"/>
      <c r="M39" s="22"/>
      <c r="N39" s="23"/>
      <c r="O39" s="31">
        <v>908</v>
      </c>
      <c r="P39" s="22"/>
      <c r="Q39" s="22"/>
      <c r="R39" s="22"/>
      <c r="S39" s="23"/>
      <c r="T39" s="25">
        <v>288</v>
      </c>
      <c r="U39" s="22"/>
      <c r="V39" s="22"/>
      <c r="W39" s="22"/>
      <c r="X39" s="23"/>
      <c r="Y39" s="24">
        <f t="shared" si="1"/>
        <v>0.38390400000000002</v>
      </c>
      <c r="Z39" s="22"/>
      <c r="AA39" s="22"/>
      <c r="AB39" s="22"/>
      <c r="AC39" s="23"/>
      <c r="AD39" s="25">
        <v>923</v>
      </c>
      <c r="AE39" s="22"/>
      <c r="AF39" s="22"/>
      <c r="AG39" s="22"/>
      <c r="AH39" s="23"/>
      <c r="AI39" s="21">
        <v>939</v>
      </c>
      <c r="AJ39" s="22"/>
      <c r="AK39" s="22"/>
      <c r="AL39" s="22"/>
      <c r="AM39" s="23"/>
      <c r="AN39" s="21">
        <v>1019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>
        <v>257</v>
      </c>
      <c r="F40" s="22"/>
      <c r="G40" s="22"/>
      <c r="H40" s="22"/>
      <c r="I40" s="23"/>
      <c r="J40" s="32">
        <f t="shared" ref="J40:J46" si="4">E40*0.0012</f>
        <v>0.30839999999999995</v>
      </c>
      <c r="K40" s="22"/>
      <c r="L40" s="22"/>
      <c r="M40" s="22"/>
      <c r="N40" s="23"/>
      <c r="O40" s="31">
        <v>706</v>
      </c>
      <c r="P40" s="22"/>
      <c r="Q40" s="22"/>
      <c r="R40" s="22"/>
      <c r="S40" s="23"/>
      <c r="T40" s="25">
        <v>257</v>
      </c>
      <c r="U40" s="22"/>
      <c r="V40" s="22"/>
      <c r="W40" s="22"/>
      <c r="X40" s="23"/>
      <c r="Y40" s="24">
        <f t="shared" si="1"/>
        <v>0.34258099999999997</v>
      </c>
      <c r="Z40" s="22"/>
      <c r="AA40" s="22"/>
      <c r="AB40" s="22"/>
      <c r="AC40" s="23"/>
      <c r="AD40" s="25">
        <v>731</v>
      </c>
      <c r="AE40" s="22"/>
      <c r="AF40" s="22"/>
      <c r="AG40" s="22"/>
      <c r="AH40" s="23"/>
      <c r="AI40" s="21">
        <v>752</v>
      </c>
      <c r="AJ40" s="22"/>
      <c r="AK40" s="22"/>
      <c r="AL40" s="22"/>
      <c r="AM40" s="23"/>
      <c r="AN40" s="21">
        <v>829</v>
      </c>
      <c r="AO40" s="22"/>
      <c r="AP40" s="22"/>
      <c r="AQ40" s="22"/>
      <c r="AR40" s="23"/>
      <c r="AS40" s="21"/>
      <c r="AT40" s="22"/>
      <c r="AU40" s="22"/>
      <c r="AV40" s="22"/>
      <c r="AW40" s="23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>
        <v>285</v>
      </c>
      <c r="F41" s="22"/>
      <c r="G41" s="22"/>
      <c r="H41" s="22"/>
      <c r="I41" s="23"/>
      <c r="J41" s="32">
        <f t="shared" si="4"/>
        <v>0.34199999999999997</v>
      </c>
      <c r="K41" s="22"/>
      <c r="L41" s="22"/>
      <c r="M41" s="22"/>
      <c r="N41" s="23"/>
      <c r="O41" s="31">
        <v>707</v>
      </c>
      <c r="P41" s="22"/>
      <c r="Q41" s="22"/>
      <c r="R41" s="22"/>
      <c r="S41" s="23"/>
      <c r="T41" s="34">
        <v>285</v>
      </c>
      <c r="U41" s="22"/>
      <c r="V41" s="22"/>
      <c r="W41" s="22"/>
      <c r="X41" s="23"/>
      <c r="Y41" s="24">
        <f t="shared" si="1"/>
        <v>0.37990499999999999</v>
      </c>
      <c r="Z41" s="22"/>
      <c r="AA41" s="22"/>
      <c r="AB41" s="22"/>
      <c r="AC41" s="23"/>
      <c r="AD41" s="25">
        <v>733</v>
      </c>
      <c r="AE41" s="22"/>
      <c r="AF41" s="22"/>
      <c r="AG41" s="22"/>
      <c r="AH41" s="23"/>
      <c r="AI41" s="21">
        <v>753</v>
      </c>
      <c r="AJ41" s="22"/>
      <c r="AK41" s="22"/>
      <c r="AL41" s="22"/>
      <c r="AM41" s="23"/>
      <c r="AN41" s="21">
        <v>830</v>
      </c>
      <c r="AO41" s="22"/>
      <c r="AP41" s="22"/>
      <c r="AQ41" s="22"/>
      <c r="AR41" s="23"/>
      <c r="AS41" s="21"/>
      <c r="AT41" s="22"/>
      <c r="AU41" s="22"/>
      <c r="AV41" s="22"/>
      <c r="AW41" s="23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>
        <v>390</v>
      </c>
      <c r="F42" s="22"/>
      <c r="G42" s="22"/>
      <c r="H42" s="22"/>
      <c r="I42" s="23"/>
      <c r="J42" s="32">
        <f t="shared" si="4"/>
        <v>0.46799999999999997</v>
      </c>
      <c r="K42" s="22"/>
      <c r="L42" s="22"/>
      <c r="M42" s="22"/>
      <c r="N42" s="23"/>
      <c r="O42" s="31">
        <v>708</v>
      </c>
      <c r="P42" s="22"/>
      <c r="Q42" s="22"/>
      <c r="R42" s="22"/>
      <c r="S42" s="23"/>
      <c r="T42" s="34">
        <v>390</v>
      </c>
      <c r="U42" s="22"/>
      <c r="V42" s="22"/>
      <c r="W42" s="22"/>
      <c r="X42" s="23"/>
      <c r="Y42" s="24">
        <f t="shared" si="1"/>
        <v>0.51986999999999994</v>
      </c>
      <c r="Z42" s="22"/>
      <c r="AA42" s="22"/>
      <c r="AB42" s="22"/>
      <c r="AC42" s="23"/>
      <c r="AD42" s="25">
        <v>734</v>
      </c>
      <c r="AE42" s="22"/>
      <c r="AF42" s="22"/>
      <c r="AG42" s="22"/>
      <c r="AH42" s="23"/>
      <c r="AI42" s="21">
        <v>754</v>
      </c>
      <c r="AJ42" s="22"/>
      <c r="AK42" s="22"/>
      <c r="AL42" s="22"/>
      <c r="AM42" s="23"/>
      <c r="AN42" s="21">
        <v>831</v>
      </c>
      <c r="AO42" s="22"/>
      <c r="AP42" s="22"/>
      <c r="AQ42" s="22"/>
      <c r="AR42" s="23"/>
      <c r="AS42" s="21"/>
      <c r="AT42" s="22"/>
      <c r="AU42" s="22"/>
      <c r="AV42" s="22"/>
      <c r="AW42" s="23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>
        <v>403</v>
      </c>
      <c r="F43" s="22"/>
      <c r="G43" s="22"/>
      <c r="H43" s="22"/>
      <c r="I43" s="23"/>
      <c r="J43" s="32">
        <f t="shared" si="4"/>
        <v>0.48359999999999997</v>
      </c>
      <c r="K43" s="22"/>
      <c r="L43" s="22"/>
      <c r="M43" s="22"/>
      <c r="N43" s="23"/>
      <c r="O43" s="31">
        <v>710</v>
      </c>
      <c r="P43" s="22"/>
      <c r="Q43" s="22"/>
      <c r="R43" s="22"/>
      <c r="S43" s="23"/>
      <c r="T43" s="34">
        <v>403</v>
      </c>
      <c r="U43" s="22"/>
      <c r="V43" s="22"/>
      <c r="W43" s="22"/>
      <c r="X43" s="23"/>
      <c r="Y43" s="24">
        <f t="shared" si="1"/>
        <v>0.53719899999999998</v>
      </c>
      <c r="Z43" s="22"/>
      <c r="AA43" s="22"/>
      <c r="AB43" s="22"/>
      <c r="AC43" s="23"/>
      <c r="AD43" s="25">
        <v>735</v>
      </c>
      <c r="AE43" s="22"/>
      <c r="AF43" s="22"/>
      <c r="AG43" s="22"/>
      <c r="AH43" s="23"/>
      <c r="AI43" s="21">
        <v>755</v>
      </c>
      <c r="AJ43" s="22"/>
      <c r="AK43" s="22"/>
      <c r="AL43" s="22"/>
      <c r="AM43" s="23"/>
      <c r="AN43" s="21">
        <v>832</v>
      </c>
      <c r="AO43" s="22"/>
      <c r="AP43" s="22"/>
      <c r="AQ43" s="22"/>
      <c r="AR43" s="23"/>
      <c r="AS43" s="21"/>
      <c r="AT43" s="22"/>
      <c r="AU43" s="22"/>
      <c r="AV43" s="22"/>
      <c r="AW43" s="23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>
        <v>442</v>
      </c>
      <c r="F44" s="22"/>
      <c r="G44" s="22"/>
      <c r="H44" s="22"/>
      <c r="I44" s="23"/>
      <c r="J44" s="32">
        <f t="shared" si="4"/>
        <v>0.53039999999999998</v>
      </c>
      <c r="K44" s="22"/>
      <c r="L44" s="22"/>
      <c r="M44" s="22"/>
      <c r="N44" s="23"/>
      <c r="O44" s="31">
        <v>711</v>
      </c>
      <c r="P44" s="22"/>
      <c r="Q44" s="22"/>
      <c r="R44" s="22"/>
      <c r="S44" s="23"/>
      <c r="T44" s="34">
        <v>442</v>
      </c>
      <c r="U44" s="22"/>
      <c r="V44" s="22"/>
      <c r="W44" s="22"/>
      <c r="X44" s="23"/>
      <c r="Y44" s="24">
        <f t="shared" si="1"/>
        <v>0.58918599999999999</v>
      </c>
      <c r="Z44" s="22"/>
      <c r="AA44" s="22"/>
      <c r="AB44" s="22"/>
      <c r="AC44" s="23"/>
      <c r="AD44" s="25">
        <v>737</v>
      </c>
      <c r="AE44" s="22"/>
      <c r="AF44" s="22"/>
      <c r="AG44" s="22"/>
      <c r="AH44" s="23"/>
      <c r="AI44" s="21">
        <v>756</v>
      </c>
      <c r="AJ44" s="22"/>
      <c r="AK44" s="22"/>
      <c r="AL44" s="22"/>
      <c r="AM44" s="23"/>
      <c r="AN44" s="21">
        <v>833</v>
      </c>
      <c r="AO44" s="22"/>
      <c r="AP44" s="22"/>
      <c r="AQ44" s="22"/>
      <c r="AR44" s="23"/>
      <c r="AS44" s="21"/>
      <c r="AT44" s="22"/>
      <c r="AU44" s="22"/>
      <c r="AV44" s="22"/>
      <c r="AW44" s="23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>
        <v>441</v>
      </c>
      <c r="F45" s="22"/>
      <c r="G45" s="22"/>
      <c r="H45" s="22"/>
      <c r="I45" s="23"/>
      <c r="J45" s="32">
        <f t="shared" si="4"/>
        <v>0.5292</v>
      </c>
      <c r="K45" s="22"/>
      <c r="L45" s="22"/>
      <c r="M45" s="22"/>
      <c r="N45" s="23"/>
      <c r="O45" s="31">
        <v>805</v>
      </c>
      <c r="P45" s="22"/>
      <c r="Q45" s="22"/>
      <c r="R45" s="22"/>
      <c r="S45" s="23"/>
      <c r="T45" s="34">
        <v>441</v>
      </c>
      <c r="U45" s="22"/>
      <c r="V45" s="22"/>
      <c r="W45" s="22"/>
      <c r="X45" s="23"/>
      <c r="Y45" s="24">
        <f t="shared" si="1"/>
        <v>0.58785299999999996</v>
      </c>
      <c r="Z45" s="22"/>
      <c r="AA45" s="22"/>
      <c r="AB45" s="22"/>
      <c r="AC45" s="23"/>
      <c r="AD45" s="25">
        <v>825</v>
      </c>
      <c r="AE45" s="22"/>
      <c r="AF45" s="22"/>
      <c r="AG45" s="22"/>
      <c r="AH45" s="23"/>
      <c r="AI45" s="21">
        <v>842</v>
      </c>
      <c r="AJ45" s="22"/>
      <c r="AK45" s="22"/>
      <c r="AL45" s="22"/>
      <c r="AM45" s="23"/>
      <c r="AN45" s="21">
        <v>922</v>
      </c>
      <c r="AO45" s="22"/>
      <c r="AP45" s="22"/>
      <c r="AQ45" s="22"/>
      <c r="AR45" s="23"/>
      <c r="AS45" s="21"/>
      <c r="AT45" s="22"/>
      <c r="AU45" s="22"/>
      <c r="AV45" s="22"/>
      <c r="AW45" s="23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>
        <v>257</v>
      </c>
      <c r="F46" s="22"/>
      <c r="G46" s="22"/>
      <c r="H46" s="22"/>
      <c r="I46" s="23"/>
      <c r="J46" s="32">
        <f t="shared" si="4"/>
        <v>0.30839999999999995</v>
      </c>
      <c r="K46" s="22"/>
      <c r="L46" s="22"/>
      <c r="M46" s="22"/>
      <c r="N46" s="23"/>
      <c r="O46" s="31">
        <v>807</v>
      </c>
      <c r="P46" s="22"/>
      <c r="Q46" s="22"/>
      <c r="R46" s="22"/>
      <c r="S46" s="23"/>
      <c r="T46" s="25">
        <v>257</v>
      </c>
      <c r="U46" s="22"/>
      <c r="V46" s="22"/>
      <c r="W46" s="22"/>
      <c r="X46" s="23"/>
      <c r="Y46" s="24">
        <f t="shared" si="1"/>
        <v>0.34258099999999997</v>
      </c>
      <c r="Z46" s="22"/>
      <c r="AA46" s="22"/>
      <c r="AB46" s="22"/>
      <c r="AC46" s="23"/>
      <c r="AD46" s="25">
        <v>826</v>
      </c>
      <c r="AE46" s="22"/>
      <c r="AF46" s="22"/>
      <c r="AG46" s="22"/>
      <c r="AH46" s="23"/>
      <c r="AI46" s="21">
        <v>843</v>
      </c>
      <c r="AJ46" s="22"/>
      <c r="AK46" s="22"/>
      <c r="AL46" s="22"/>
      <c r="AM46" s="23"/>
      <c r="AN46" s="21">
        <v>923</v>
      </c>
      <c r="AO46" s="22"/>
      <c r="AP46" s="22"/>
      <c r="AQ46" s="22"/>
      <c r="AR46" s="23"/>
      <c r="AS46" s="21"/>
      <c r="AT46" s="22"/>
      <c r="AU46" s="22"/>
      <c r="AV46" s="22"/>
      <c r="AW46" s="23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414">
    <mergeCell ref="AD39:AH39"/>
    <mergeCell ref="AI39:AM39"/>
    <mergeCell ref="AN37:AR37"/>
    <mergeCell ref="AS37:AW37"/>
    <mergeCell ref="E37:I37"/>
    <mergeCell ref="J37:N37"/>
    <mergeCell ref="O37:S37"/>
    <mergeCell ref="T37:X37"/>
    <mergeCell ref="Y37:AC37"/>
    <mergeCell ref="E38:I38"/>
    <mergeCell ref="J38:N38"/>
    <mergeCell ref="O38:S38"/>
    <mergeCell ref="AI38:AM38"/>
    <mergeCell ref="AD37:AH37"/>
    <mergeCell ref="E39:I39"/>
    <mergeCell ref="J39:N39"/>
    <mergeCell ref="O39:S39"/>
    <mergeCell ref="E24:I24"/>
    <mergeCell ref="J24:N24"/>
    <mergeCell ref="O24:S24"/>
    <mergeCell ref="AI24:AM24"/>
    <mergeCell ref="AD24:AH24"/>
    <mergeCell ref="T24:X24"/>
    <mergeCell ref="Y24:AC24"/>
    <mergeCell ref="T25:X25"/>
    <mergeCell ref="Y25:AC25"/>
    <mergeCell ref="AD25:AH25"/>
    <mergeCell ref="AI25:AM25"/>
    <mergeCell ref="E25:I25"/>
    <mergeCell ref="J25:N25"/>
    <mergeCell ref="AN23:AR23"/>
    <mergeCell ref="AS23:AW23"/>
    <mergeCell ref="E23:I23"/>
    <mergeCell ref="J23:N23"/>
    <mergeCell ref="O23:S23"/>
    <mergeCell ref="T23:X23"/>
    <mergeCell ref="Y23:AC23"/>
    <mergeCell ref="AD23:AH23"/>
    <mergeCell ref="AI23:AM23"/>
    <mergeCell ref="AN25:AR25"/>
    <mergeCell ref="AS25:AW25"/>
    <mergeCell ref="AS24:AW24"/>
    <mergeCell ref="AN24:AR24"/>
    <mergeCell ref="O46:S46"/>
    <mergeCell ref="AD45:AH45"/>
    <mergeCell ref="T45:X45"/>
    <mergeCell ref="Y45:AC45"/>
    <mergeCell ref="AN32:AR32"/>
    <mergeCell ref="AS32:AW32"/>
    <mergeCell ref="AS31:AW31"/>
    <mergeCell ref="AN31:AR31"/>
    <mergeCell ref="AN30:AR30"/>
    <mergeCell ref="AS30:AW30"/>
    <mergeCell ref="O30:S30"/>
    <mergeCell ref="T30:X30"/>
    <mergeCell ref="Y30:AC30"/>
    <mergeCell ref="AD30:AH30"/>
    <mergeCell ref="AI30:AM30"/>
    <mergeCell ref="O32:S32"/>
    <mergeCell ref="O31:S31"/>
    <mergeCell ref="AI31:AM31"/>
    <mergeCell ref="AD31:AH31"/>
    <mergeCell ref="T31:X31"/>
    <mergeCell ref="AS26:AW26"/>
    <mergeCell ref="AS45:AW45"/>
    <mergeCell ref="AN45:AR45"/>
    <mergeCell ref="AS46:AW46"/>
    <mergeCell ref="T46:X46"/>
    <mergeCell ref="Y46:AC46"/>
    <mergeCell ref="AN44:AR44"/>
    <mergeCell ref="AS44:AW44"/>
    <mergeCell ref="E44:I44"/>
    <mergeCell ref="J44:N44"/>
    <mergeCell ref="O44:S44"/>
    <mergeCell ref="T44:X44"/>
    <mergeCell ref="Y44:AC44"/>
    <mergeCell ref="AD44:AH44"/>
    <mergeCell ref="AI44:AM44"/>
    <mergeCell ref="AD46:AH46"/>
    <mergeCell ref="E45:I45"/>
    <mergeCell ref="J45:N45"/>
    <mergeCell ref="O45:S45"/>
    <mergeCell ref="AI45:AM45"/>
    <mergeCell ref="AI46:AM46"/>
    <mergeCell ref="AN46:AR46"/>
    <mergeCell ref="E46:I46"/>
    <mergeCell ref="J46:N46"/>
    <mergeCell ref="AS40:AW40"/>
    <mergeCell ref="AN33:AR33"/>
    <mergeCell ref="AS33:AW33"/>
    <mergeCell ref="AN36:AR36"/>
    <mergeCell ref="AS36:AW36"/>
    <mergeCell ref="AN35:AR35"/>
    <mergeCell ref="AS35:AW35"/>
    <mergeCell ref="AS34:AW34"/>
    <mergeCell ref="AN34:AR34"/>
    <mergeCell ref="AN39:AR39"/>
    <mergeCell ref="AS39:AW39"/>
    <mergeCell ref="AS38:AW38"/>
    <mergeCell ref="AN38:AR38"/>
    <mergeCell ref="O25:S25"/>
    <mergeCell ref="E31:I31"/>
    <mergeCell ref="J31:N31"/>
    <mergeCell ref="AI32:AM32"/>
    <mergeCell ref="E26:I26"/>
    <mergeCell ref="J26:N26"/>
    <mergeCell ref="O26:S26"/>
    <mergeCell ref="T26:X26"/>
    <mergeCell ref="Y26:AC26"/>
    <mergeCell ref="AD26:AH26"/>
    <mergeCell ref="AI26:AM26"/>
    <mergeCell ref="AD27:AH27"/>
    <mergeCell ref="T27:X27"/>
    <mergeCell ref="Y27:AC27"/>
    <mergeCell ref="T28:X28"/>
    <mergeCell ref="Y28:AC28"/>
    <mergeCell ref="Y31:AC31"/>
    <mergeCell ref="T32:X32"/>
    <mergeCell ref="Y32:AC32"/>
    <mergeCell ref="AD32:AH32"/>
    <mergeCell ref="AD28:AH28"/>
    <mergeCell ref="AI28:AM28"/>
    <mergeCell ref="E40:I40"/>
    <mergeCell ref="J40:N40"/>
    <mergeCell ref="O40:S40"/>
    <mergeCell ref="T40:X40"/>
    <mergeCell ref="Y40:AC40"/>
    <mergeCell ref="AD40:AH40"/>
    <mergeCell ref="AI40:AM40"/>
    <mergeCell ref="AN40:AR40"/>
    <mergeCell ref="AN26:AR26"/>
    <mergeCell ref="E30:I30"/>
    <mergeCell ref="J30:N30"/>
    <mergeCell ref="E32:I32"/>
    <mergeCell ref="J32:N32"/>
    <mergeCell ref="AI36:AM36"/>
    <mergeCell ref="AI35:AM35"/>
    <mergeCell ref="AI34:AM34"/>
    <mergeCell ref="AI33:AM33"/>
    <mergeCell ref="AI37:AM37"/>
    <mergeCell ref="AD38:AH38"/>
    <mergeCell ref="T38:X38"/>
    <mergeCell ref="Y38:AC38"/>
    <mergeCell ref="AD33:AH33"/>
    <mergeCell ref="T39:X39"/>
    <mergeCell ref="Y39:AC39"/>
    <mergeCell ref="AD1:AH1"/>
    <mergeCell ref="AI1:AM1"/>
    <mergeCell ref="AS4:AW4"/>
    <mergeCell ref="E3:I3"/>
    <mergeCell ref="J3:N3"/>
    <mergeCell ref="O3:S3"/>
    <mergeCell ref="T3:X3"/>
    <mergeCell ref="Y3:AC3"/>
    <mergeCell ref="AS3:AW3"/>
    <mergeCell ref="AI2:AM2"/>
    <mergeCell ref="AN2:AR2"/>
    <mergeCell ref="AS2:AW2"/>
    <mergeCell ref="AI3:AM3"/>
    <mergeCell ref="AN3:AR3"/>
    <mergeCell ref="E2:I2"/>
    <mergeCell ref="J2:N2"/>
    <mergeCell ref="O2:S2"/>
    <mergeCell ref="T2:X2"/>
    <mergeCell ref="Y4:AC4"/>
    <mergeCell ref="E6:I6"/>
    <mergeCell ref="J6:N6"/>
    <mergeCell ref="O6:S6"/>
    <mergeCell ref="T6:X6"/>
    <mergeCell ref="Y6:AC6"/>
    <mergeCell ref="AD6:AH6"/>
    <mergeCell ref="AS6:AW6"/>
    <mergeCell ref="AN1:AR1"/>
    <mergeCell ref="AS1:AW1"/>
    <mergeCell ref="E1:I1"/>
    <mergeCell ref="J1:N1"/>
    <mergeCell ref="O1:S1"/>
    <mergeCell ref="T1:X1"/>
    <mergeCell ref="Y1:AC1"/>
    <mergeCell ref="Y2:AC2"/>
    <mergeCell ref="AD2:AH2"/>
    <mergeCell ref="AD3:AH3"/>
    <mergeCell ref="AD4:AH4"/>
    <mergeCell ref="AN4:AR4"/>
    <mergeCell ref="AI4:AM4"/>
    <mergeCell ref="E4:I4"/>
    <mergeCell ref="J4:N4"/>
    <mergeCell ref="O4:S4"/>
    <mergeCell ref="T4:X4"/>
    <mergeCell ref="E8:I8"/>
    <mergeCell ref="J8:N8"/>
    <mergeCell ref="O8:S8"/>
    <mergeCell ref="AS7:AW7"/>
    <mergeCell ref="T8:X8"/>
    <mergeCell ref="Y8:AC8"/>
    <mergeCell ref="AD8:AH8"/>
    <mergeCell ref="AI7:AM7"/>
    <mergeCell ref="AN7:AR7"/>
    <mergeCell ref="AI8:AM8"/>
    <mergeCell ref="AN8:AR8"/>
    <mergeCell ref="AS8:AW8"/>
    <mergeCell ref="E7:I7"/>
    <mergeCell ref="J7:N7"/>
    <mergeCell ref="O7:S7"/>
    <mergeCell ref="E10:I10"/>
    <mergeCell ref="J10:N10"/>
    <mergeCell ref="O10:S10"/>
    <mergeCell ref="AI9:AM9"/>
    <mergeCell ref="AN9:AR9"/>
    <mergeCell ref="Y9:AC9"/>
    <mergeCell ref="AS9:AW9"/>
    <mergeCell ref="E9:I9"/>
    <mergeCell ref="J9:N9"/>
    <mergeCell ref="O9:S9"/>
    <mergeCell ref="T9:X9"/>
    <mergeCell ref="AD9:AH9"/>
    <mergeCell ref="AS16:AW16"/>
    <mergeCell ref="E16:I16"/>
    <mergeCell ref="J16:N16"/>
    <mergeCell ref="O16:S16"/>
    <mergeCell ref="T16:X16"/>
    <mergeCell ref="Y16:AC16"/>
    <mergeCell ref="AN17:AR17"/>
    <mergeCell ref="AS17:AW17"/>
    <mergeCell ref="AS18:AW18"/>
    <mergeCell ref="AN18:AR18"/>
    <mergeCell ref="E17:I17"/>
    <mergeCell ref="J17:N17"/>
    <mergeCell ref="O17:S17"/>
    <mergeCell ref="AD17:AH17"/>
    <mergeCell ref="AI17:AM17"/>
    <mergeCell ref="T17:X17"/>
    <mergeCell ref="Y17:AC17"/>
    <mergeCell ref="E18:I18"/>
    <mergeCell ref="J18:N18"/>
    <mergeCell ref="O18:S18"/>
    <mergeCell ref="T18:X18"/>
    <mergeCell ref="Y18:AC18"/>
    <mergeCell ref="AD18:AH18"/>
    <mergeCell ref="AI18:AM18"/>
    <mergeCell ref="E34:I34"/>
    <mergeCell ref="J34:N34"/>
    <mergeCell ref="O34:S34"/>
    <mergeCell ref="AD34:AH34"/>
    <mergeCell ref="T34:X34"/>
    <mergeCell ref="Y34:AC34"/>
    <mergeCell ref="T35:X35"/>
    <mergeCell ref="Y35:AC35"/>
    <mergeCell ref="E35:I35"/>
    <mergeCell ref="J35:N35"/>
    <mergeCell ref="O35:S35"/>
    <mergeCell ref="AD35:AH35"/>
    <mergeCell ref="AN28:AR28"/>
    <mergeCell ref="AS28:AW28"/>
    <mergeCell ref="AS27:AW27"/>
    <mergeCell ref="AN27:AR27"/>
    <mergeCell ref="E28:I28"/>
    <mergeCell ref="J28:N28"/>
    <mergeCell ref="O28:S28"/>
    <mergeCell ref="E27:I27"/>
    <mergeCell ref="J27:N27"/>
    <mergeCell ref="O27:S27"/>
    <mergeCell ref="AI27:AM27"/>
    <mergeCell ref="AN42:AR42"/>
    <mergeCell ref="AS42:AW42"/>
    <mergeCell ref="AS41:AW41"/>
    <mergeCell ref="AN41:AR41"/>
    <mergeCell ref="AD29:AH29"/>
    <mergeCell ref="AI29:AM29"/>
    <mergeCell ref="AN29:AR29"/>
    <mergeCell ref="AS29:AW29"/>
    <mergeCell ref="E29:I29"/>
    <mergeCell ref="J29:N29"/>
    <mergeCell ref="O29:S29"/>
    <mergeCell ref="T29:X29"/>
    <mergeCell ref="Y29:AC29"/>
    <mergeCell ref="E36:I36"/>
    <mergeCell ref="J36:N36"/>
    <mergeCell ref="O36:S36"/>
    <mergeCell ref="T36:X36"/>
    <mergeCell ref="Y36:AC36"/>
    <mergeCell ref="AD36:AH36"/>
    <mergeCell ref="E33:I33"/>
    <mergeCell ref="J33:N33"/>
    <mergeCell ref="O33:S33"/>
    <mergeCell ref="T33:X33"/>
    <mergeCell ref="Y33:AC33"/>
    <mergeCell ref="E42:I42"/>
    <mergeCell ref="J42:N42"/>
    <mergeCell ref="O42:S42"/>
    <mergeCell ref="E41:I41"/>
    <mergeCell ref="J41:N41"/>
    <mergeCell ref="O41:S41"/>
    <mergeCell ref="AI41:AM41"/>
    <mergeCell ref="AD43:AH43"/>
    <mergeCell ref="AI43:AM43"/>
    <mergeCell ref="AD41:AH41"/>
    <mergeCell ref="T41:X41"/>
    <mergeCell ref="Y41:AC41"/>
    <mergeCell ref="T42:X42"/>
    <mergeCell ref="Y42:AC42"/>
    <mergeCell ref="AD42:AH42"/>
    <mergeCell ref="AI42:AM42"/>
    <mergeCell ref="AN43:AR43"/>
    <mergeCell ref="AS43:AW43"/>
    <mergeCell ref="E43:I43"/>
    <mergeCell ref="J43:N43"/>
    <mergeCell ref="O43:S43"/>
    <mergeCell ref="T43:X43"/>
    <mergeCell ref="Y43:AC43"/>
    <mergeCell ref="AD20:AH20"/>
    <mergeCell ref="T20:X20"/>
    <mergeCell ref="Y20:AC20"/>
    <mergeCell ref="T21:X21"/>
    <mergeCell ref="Y21:AC21"/>
    <mergeCell ref="AD21:AH21"/>
    <mergeCell ref="AI21:AM21"/>
    <mergeCell ref="AN21:AR21"/>
    <mergeCell ref="AS21:AW21"/>
    <mergeCell ref="AS20:AW20"/>
    <mergeCell ref="AN20:AR20"/>
    <mergeCell ref="E21:I21"/>
    <mergeCell ref="J21:N21"/>
    <mergeCell ref="O21:S21"/>
    <mergeCell ref="E20:I20"/>
    <mergeCell ref="J20:N20"/>
    <mergeCell ref="O20:S20"/>
    <mergeCell ref="AS22:AW22"/>
    <mergeCell ref="E22:I22"/>
    <mergeCell ref="J22:N22"/>
    <mergeCell ref="O22:S22"/>
    <mergeCell ref="T22:X22"/>
    <mergeCell ref="Y22:AC22"/>
    <mergeCell ref="AN19:AR19"/>
    <mergeCell ref="AS19:AW19"/>
    <mergeCell ref="E19:I19"/>
    <mergeCell ref="J19:N19"/>
    <mergeCell ref="O19:S19"/>
    <mergeCell ref="T19:X19"/>
    <mergeCell ref="Y19:AC19"/>
    <mergeCell ref="AD19:AH19"/>
    <mergeCell ref="AI19:AM19"/>
    <mergeCell ref="E5:I5"/>
    <mergeCell ref="J5:N5"/>
    <mergeCell ref="O5:S5"/>
    <mergeCell ref="T5:X5"/>
    <mergeCell ref="Y5:AC5"/>
    <mergeCell ref="AD5:AH5"/>
    <mergeCell ref="AN12:AR12"/>
    <mergeCell ref="AI20:AM20"/>
    <mergeCell ref="AD22:AH22"/>
    <mergeCell ref="AI22:AM22"/>
    <mergeCell ref="AN22:AR22"/>
    <mergeCell ref="AD16:AH16"/>
    <mergeCell ref="AI16:AM16"/>
    <mergeCell ref="AN16:AR16"/>
    <mergeCell ref="AN10:AR10"/>
    <mergeCell ref="AI10:AM10"/>
    <mergeCell ref="O11:S11"/>
    <mergeCell ref="T10:X10"/>
    <mergeCell ref="T11:X11"/>
    <mergeCell ref="AI11:AM11"/>
    <mergeCell ref="AN11:AR11"/>
    <mergeCell ref="E11:I11"/>
    <mergeCell ref="J11:N11"/>
    <mergeCell ref="Y10:AC10"/>
    <mergeCell ref="AI15:AM15"/>
    <mergeCell ref="AN15:AR15"/>
    <mergeCell ref="AS15:AW15"/>
    <mergeCell ref="AS12:AW12"/>
    <mergeCell ref="E12:I12"/>
    <mergeCell ref="J12:N12"/>
    <mergeCell ref="O12:S12"/>
    <mergeCell ref="T12:X12"/>
    <mergeCell ref="Y12:AC12"/>
    <mergeCell ref="AD12:AH12"/>
    <mergeCell ref="AI12:AM12"/>
    <mergeCell ref="E13:I13"/>
    <mergeCell ref="J13:N13"/>
    <mergeCell ref="O13:S13"/>
    <mergeCell ref="AI13:AM13"/>
    <mergeCell ref="AD13:AH13"/>
    <mergeCell ref="T13:X13"/>
    <mergeCell ref="Y13:AC13"/>
    <mergeCell ref="E14:I14"/>
    <mergeCell ref="J14:N14"/>
    <mergeCell ref="O14:S14"/>
    <mergeCell ref="E15:I15"/>
    <mergeCell ref="J15:N15"/>
    <mergeCell ref="O15:S15"/>
    <mergeCell ref="T15:X15"/>
    <mergeCell ref="Y15:AC15"/>
    <mergeCell ref="AD15:AH15"/>
    <mergeCell ref="AS5:AW5"/>
    <mergeCell ref="T14:X14"/>
    <mergeCell ref="Y14:AC14"/>
    <mergeCell ref="AD14:AH14"/>
    <mergeCell ref="AI14:AM14"/>
    <mergeCell ref="AN14:AR14"/>
    <mergeCell ref="AS14:AW14"/>
    <mergeCell ref="AS13:AW13"/>
    <mergeCell ref="AN13:AR13"/>
    <mergeCell ref="AI5:AM5"/>
    <mergeCell ref="AN5:AR5"/>
    <mergeCell ref="AS10:AW10"/>
    <mergeCell ref="AS11:AW11"/>
    <mergeCell ref="Y11:AC11"/>
    <mergeCell ref="AD10:AH10"/>
    <mergeCell ref="AD11:AH11"/>
    <mergeCell ref="AD7:AH7"/>
    <mergeCell ref="T7:X7"/>
    <mergeCell ref="Y7:AC7"/>
    <mergeCell ref="AI6:AM6"/>
    <mergeCell ref="AN6:AR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D85C6"/>
    <outlinePr summaryBelow="0" summaryRight="0"/>
    <pageSetUpPr fitToPage="1"/>
  </sheetPr>
  <dimension ref="A1:GB71"/>
  <sheetViews>
    <sheetView showGridLines="0" tabSelected="1" workbookViewId="0"/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75" customWidth="1"/>
    <col min="4" max="4" width="15.75" customWidth="1"/>
    <col min="5" max="18" width="3" customWidth="1"/>
    <col min="19" max="19" width="25.75" customWidth="1"/>
    <col min="20" max="23" width="3" customWidth="1"/>
    <col min="24" max="24" width="2.75" customWidth="1"/>
    <col min="25" max="78" width="3" customWidth="1"/>
    <col min="79" max="79" width="20.33203125" customWidth="1"/>
    <col min="8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436</v>
      </c>
      <c r="F2" s="22"/>
      <c r="G2" s="22"/>
      <c r="H2" s="22"/>
      <c r="I2" s="23"/>
      <c r="J2" s="32">
        <f t="shared" ref="J2:J17" si="0">E2*0.00125</f>
        <v>0.54500000000000004</v>
      </c>
      <c r="K2" s="22"/>
      <c r="L2" s="22"/>
      <c r="M2" s="22"/>
      <c r="N2" s="23"/>
      <c r="O2" s="32">
        <v>1718</v>
      </c>
      <c r="P2" s="22"/>
      <c r="Q2" s="22"/>
      <c r="R2" s="22"/>
      <c r="S2" s="23"/>
      <c r="T2" s="24">
        <v>436</v>
      </c>
      <c r="U2" s="22"/>
      <c r="V2" s="22"/>
      <c r="W2" s="22"/>
      <c r="X2" s="23"/>
      <c r="Y2" s="24">
        <f t="shared" ref="Y2:Y46" si="1">T2*0.001333</f>
        <v>0.58118800000000004</v>
      </c>
      <c r="Z2" s="22"/>
      <c r="AA2" s="22"/>
      <c r="AB2" s="22"/>
      <c r="AC2" s="23"/>
      <c r="AD2" s="24">
        <v>1736</v>
      </c>
      <c r="AE2" s="22"/>
      <c r="AF2" s="22"/>
      <c r="AG2" s="22"/>
      <c r="AH2" s="23"/>
      <c r="AI2" s="26">
        <v>1752</v>
      </c>
      <c r="AJ2" s="22"/>
      <c r="AK2" s="22"/>
      <c r="AL2" s="22"/>
      <c r="AM2" s="23"/>
      <c r="AN2" s="26">
        <v>1832</v>
      </c>
      <c r="AO2" s="22"/>
      <c r="AP2" s="22"/>
      <c r="AQ2" s="22"/>
      <c r="AR2" s="23"/>
      <c r="AS2" s="26" t="s">
        <v>131</v>
      </c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440</v>
      </c>
      <c r="F3" s="22"/>
      <c r="G3" s="22"/>
      <c r="H3" s="22"/>
      <c r="I3" s="23"/>
      <c r="J3" s="32">
        <f t="shared" si="0"/>
        <v>0.55000000000000004</v>
      </c>
      <c r="K3" s="22"/>
      <c r="L3" s="22"/>
      <c r="M3" s="22"/>
      <c r="N3" s="23"/>
      <c r="O3" s="32">
        <v>1720</v>
      </c>
      <c r="P3" s="22"/>
      <c r="Q3" s="22"/>
      <c r="R3" s="22"/>
      <c r="S3" s="23"/>
      <c r="T3" s="36">
        <v>440</v>
      </c>
      <c r="U3" s="22"/>
      <c r="V3" s="22"/>
      <c r="W3" s="22"/>
      <c r="X3" s="23"/>
      <c r="Y3" s="24">
        <f t="shared" si="1"/>
        <v>0.58652000000000004</v>
      </c>
      <c r="Z3" s="22"/>
      <c r="AA3" s="22"/>
      <c r="AB3" s="22"/>
      <c r="AC3" s="23"/>
      <c r="AD3" s="24">
        <v>1738</v>
      </c>
      <c r="AE3" s="22"/>
      <c r="AF3" s="22"/>
      <c r="AG3" s="22"/>
      <c r="AH3" s="23"/>
      <c r="AI3" s="26">
        <v>1753</v>
      </c>
      <c r="AJ3" s="22"/>
      <c r="AK3" s="22"/>
      <c r="AL3" s="22"/>
      <c r="AM3" s="23"/>
      <c r="AN3" s="26">
        <v>1833</v>
      </c>
      <c r="AO3" s="22"/>
      <c r="AP3" s="22"/>
      <c r="AQ3" s="22"/>
      <c r="AR3" s="23"/>
      <c r="AS3" s="26"/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435</v>
      </c>
      <c r="F4" s="22"/>
      <c r="G4" s="22"/>
      <c r="H4" s="22"/>
      <c r="I4" s="23"/>
      <c r="J4" s="32">
        <f t="shared" si="0"/>
        <v>0.54375000000000007</v>
      </c>
      <c r="K4" s="22"/>
      <c r="L4" s="22"/>
      <c r="M4" s="22"/>
      <c r="N4" s="23"/>
      <c r="O4" s="32">
        <v>1721</v>
      </c>
      <c r="P4" s="22"/>
      <c r="Q4" s="22"/>
      <c r="R4" s="22"/>
      <c r="S4" s="23"/>
      <c r="T4" s="36">
        <v>435</v>
      </c>
      <c r="U4" s="22"/>
      <c r="V4" s="22"/>
      <c r="W4" s="22"/>
      <c r="X4" s="23"/>
      <c r="Y4" s="24">
        <f t="shared" si="1"/>
        <v>0.57985500000000001</v>
      </c>
      <c r="Z4" s="22"/>
      <c r="AA4" s="22"/>
      <c r="AB4" s="22"/>
      <c r="AC4" s="23"/>
      <c r="AD4" s="24">
        <v>1740</v>
      </c>
      <c r="AE4" s="22"/>
      <c r="AF4" s="22"/>
      <c r="AG4" s="22"/>
      <c r="AH4" s="23"/>
      <c r="AI4" s="26">
        <v>1754</v>
      </c>
      <c r="AJ4" s="22"/>
      <c r="AK4" s="22"/>
      <c r="AL4" s="22"/>
      <c r="AM4" s="23"/>
      <c r="AN4" s="26">
        <v>1834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436</v>
      </c>
      <c r="F5" s="22"/>
      <c r="G5" s="22"/>
      <c r="H5" s="22"/>
      <c r="I5" s="23"/>
      <c r="J5" s="32">
        <f t="shared" si="0"/>
        <v>0.54500000000000004</v>
      </c>
      <c r="K5" s="22"/>
      <c r="L5" s="22"/>
      <c r="M5" s="22"/>
      <c r="N5" s="23"/>
      <c r="O5" s="32">
        <v>1812</v>
      </c>
      <c r="P5" s="22"/>
      <c r="Q5" s="22"/>
      <c r="R5" s="22"/>
      <c r="S5" s="23"/>
      <c r="T5" s="36">
        <v>436</v>
      </c>
      <c r="U5" s="22"/>
      <c r="V5" s="22"/>
      <c r="W5" s="22"/>
      <c r="X5" s="23"/>
      <c r="Y5" s="24">
        <f t="shared" si="1"/>
        <v>0.58118800000000004</v>
      </c>
      <c r="Z5" s="22"/>
      <c r="AA5" s="22"/>
      <c r="AB5" s="22"/>
      <c r="AC5" s="23"/>
      <c r="AD5" s="24">
        <v>1829</v>
      </c>
      <c r="AE5" s="22"/>
      <c r="AF5" s="22"/>
      <c r="AG5" s="22"/>
      <c r="AH5" s="23"/>
      <c r="AI5" s="26">
        <v>1851</v>
      </c>
      <c r="AJ5" s="22"/>
      <c r="AK5" s="22"/>
      <c r="AL5" s="22"/>
      <c r="AM5" s="23"/>
      <c r="AN5" s="26">
        <v>1831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467</v>
      </c>
      <c r="F6" s="22"/>
      <c r="G6" s="22"/>
      <c r="H6" s="22"/>
      <c r="I6" s="23"/>
      <c r="J6" s="32">
        <f t="shared" si="0"/>
        <v>0.58374999999999999</v>
      </c>
      <c r="K6" s="22"/>
      <c r="L6" s="22"/>
      <c r="M6" s="22"/>
      <c r="N6" s="23"/>
      <c r="O6" s="32">
        <v>1813</v>
      </c>
      <c r="P6" s="22"/>
      <c r="Q6" s="22"/>
      <c r="R6" s="22"/>
      <c r="S6" s="23"/>
      <c r="T6" s="24">
        <v>467</v>
      </c>
      <c r="U6" s="22"/>
      <c r="V6" s="22"/>
      <c r="W6" s="22"/>
      <c r="X6" s="23"/>
      <c r="Y6" s="24">
        <f t="shared" si="1"/>
        <v>0.62251100000000004</v>
      </c>
      <c r="Z6" s="22"/>
      <c r="AA6" s="22"/>
      <c r="AB6" s="22"/>
      <c r="AC6" s="23"/>
      <c r="AD6" s="24">
        <v>1831</v>
      </c>
      <c r="AE6" s="22"/>
      <c r="AF6" s="22"/>
      <c r="AG6" s="22"/>
      <c r="AH6" s="23"/>
      <c r="AI6" s="26">
        <v>1852</v>
      </c>
      <c r="AJ6" s="22"/>
      <c r="AK6" s="22"/>
      <c r="AL6" s="22"/>
      <c r="AM6" s="23"/>
      <c r="AN6" s="26">
        <v>1832</v>
      </c>
      <c r="AO6" s="22"/>
      <c r="AP6" s="22"/>
      <c r="AQ6" s="22"/>
      <c r="AR6" s="23"/>
      <c r="AS6" s="26"/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418</v>
      </c>
      <c r="F7" s="22"/>
      <c r="G7" s="22"/>
      <c r="H7" s="22"/>
      <c r="I7" s="23"/>
      <c r="J7" s="32">
        <f t="shared" si="0"/>
        <v>0.52249999999999996</v>
      </c>
      <c r="K7" s="22"/>
      <c r="L7" s="22"/>
      <c r="M7" s="22"/>
      <c r="N7" s="23"/>
      <c r="O7" s="32">
        <v>1814</v>
      </c>
      <c r="P7" s="22"/>
      <c r="Q7" s="22"/>
      <c r="R7" s="22"/>
      <c r="S7" s="23"/>
      <c r="T7" s="24">
        <v>418</v>
      </c>
      <c r="U7" s="22"/>
      <c r="V7" s="22"/>
      <c r="W7" s="22"/>
      <c r="X7" s="23"/>
      <c r="Y7" s="24">
        <f t="shared" si="1"/>
        <v>0.55719399999999997</v>
      </c>
      <c r="Z7" s="22"/>
      <c r="AA7" s="22"/>
      <c r="AB7" s="22"/>
      <c r="AC7" s="23"/>
      <c r="AD7" s="24">
        <v>1834</v>
      </c>
      <c r="AE7" s="22"/>
      <c r="AF7" s="22"/>
      <c r="AG7" s="22"/>
      <c r="AH7" s="23"/>
      <c r="AI7" s="26">
        <v>1853</v>
      </c>
      <c r="AJ7" s="22"/>
      <c r="AK7" s="22"/>
      <c r="AL7" s="22"/>
      <c r="AM7" s="23"/>
      <c r="AN7" s="26">
        <v>1833</v>
      </c>
      <c r="AO7" s="22"/>
      <c r="AP7" s="22"/>
      <c r="AQ7" s="22"/>
      <c r="AR7" s="23"/>
      <c r="AS7" s="26"/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440</v>
      </c>
      <c r="F8" s="22"/>
      <c r="G8" s="22"/>
      <c r="H8" s="22"/>
      <c r="I8" s="23"/>
      <c r="J8" s="32">
        <f t="shared" si="0"/>
        <v>0.55000000000000004</v>
      </c>
      <c r="K8" s="22"/>
      <c r="L8" s="22"/>
      <c r="M8" s="22"/>
      <c r="N8" s="23"/>
      <c r="O8" s="32">
        <v>1816</v>
      </c>
      <c r="P8" s="22"/>
      <c r="Q8" s="22"/>
      <c r="R8" s="22"/>
      <c r="S8" s="23"/>
      <c r="T8" s="24">
        <v>440</v>
      </c>
      <c r="U8" s="22"/>
      <c r="V8" s="22"/>
      <c r="W8" s="22"/>
      <c r="X8" s="23"/>
      <c r="Y8" s="24">
        <f t="shared" si="1"/>
        <v>0.58652000000000004</v>
      </c>
      <c r="Z8" s="22"/>
      <c r="AA8" s="22"/>
      <c r="AB8" s="22"/>
      <c r="AC8" s="23"/>
      <c r="AD8" s="24">
        <v>1836</v>
      </c>
      <c r="AE8" s="22"/>
      <c r="AF8" s="22"/>
      <c r="AG8" s="22"/>
      <c r="AH8" s="23"/>
      <c r="AI8" s="26">
        <v>1854</v>
      </c>
      <c r="AJ8" s="22"/>
      <c r="AK8" s="22"/>
      <c r="AL8" s="22"/>
      <c r="AM8" s="23"/>
      <c r="AN8" s="26">
        <v>1834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288</v>
      </c>
      <c r="F9" s="22"/>
      <c r="G9" s="22"/>
      <c r="H9" s="22"/>
      <c r="I9" s="23"/>
      <c r="J9" s="32">
        <f t="shared" si="0"/>
        <v>0.36</v>
      </c>
      <c r="K9" s="22"/>
      <c r="L9" s="22"/>
      <c r="M9" s="22"/>
      <c r="N9" s="23"/>
      <c r="O9" s="32">
        <v>1618</v>
      </c>
      <c r="P9" s="22"/>
      <c r="Q9" s="22"/>
      <c r="R9" s="22"/>
      <c r="S9" s="23"/>
      <c r="T9" s="24">
        <v>288</v>
      </c>
      <c r="U9" s="22"/>
      <c r="V9" s="22"/>
      <c r="W9" s="22"/>
      <c r="X9" s="23"/>
      <c r="Y9" s="24">
        <f t="shared" si="1"/>
        <v>0.38390400000000002</v>
      </c>
      <c r="Z9" s="22"/>
      <c r="AA9" s="22"/>
      <c r="AB9" s="22"/>
      <c r="AC9" s="23"/>
      <c r="AD9" s="24">
        <v>1838</v>
      </c>
      <c r="AE9" s="22"/>
      <c r="AF9" s="22"/>
      <c r="AG9" s="22"/>
      <c r="AH9" s="23"/>
      <c r="AI9" s="26">
        <v>1855</v>
      </c>
      <c r="AJ9" s="22"/>
      <c r="AK9" s="22"/>
      <c r="AL9" s="22"/>
      <c r="AM9" s="23"/>
      <c r="AN9" s="26">
        <v>1835</v>
      </c>
      <c r="AO9" s="22"/>
      <c r="AP9" s="22"/>
      <c r="AQ9" s="22"/>
      <c r="AR9" s="23"/>
      <c r="AS9" s="26"/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444</v>
      </c>
      <c r="F10" s="22"/>
      <c r="G10" s="22"/>
      <c r="H10" s="22"/>
      <c r="I10" s="23"/>
      <c r="J10" s="32">
        <f t="shared" si="0"/>
        <v>0.55500000000000005</v>
      </c>
      <c r="K10" s="22"/>
      <c r="L10" s="22"/>
      <c r="M10" s="22"/>
      <c r="N10" s="23"/>
      <c r="O10" s="32">
        <v>1411</v>
      </c>
      <c r="P10" s="22"/>
      <c r="Q10" s="22"/>
      <c r="R10" s="22"/>
      <c r="S10" s="23"/>
      <c r="T10" s="24">
        <v>444</v>
      </c>
      <c r="U10" s="22"/>
      <c r="V10" s="22"/>
      <c r="W10" s="22"/>
      <c r="X10" s="23"/>
      <c r="Y10" s="24">
        <f t="shared" si="1"/>
        <v>0.59185200000000004</v>
      </c>
      <c r="Z10" s="22"/>
      <c r="AA10" s="22"/>
      <c r="AB10" s="22"/>
      <c r="AC10" s="23"/>
      <c r="AD10" s="24">
        <v>1437</v>
      </c>
      <c r="AE10" s="22"/>
      <c r="AF10" s="22"/>
      <c r="AG10" s="22"/>
      <c r="AH10" s="23"/>
      <c r="AI10" s="26">
        <v>1448</v>
      </c>
      <c r="AJ10" s="22"/>
      <c r="AK10" s="22"/>
      <c r="AL10" s="22"/>
      <c r="AM10" s="23"/>
      <c r="AN10" s="26">
        <v>1528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452</v>
      </c>
      <c r="F11" s="22"/>
      <c r="G11" s="22"/>
      <c r="H11" s="22"/>
      <c r="I11" s="23"/>
      <c r="J11" s="32">
        <f t="shared" si="0"/>
        <v>0.56500000000000006</v>
      </c>
      <c r="K11" s="22"/>
      <c r="L11" s="22"/>
      <c r="M11" s="22"/>
      <c r="N11" s="23"/>
      <c r="O11" s="32">
        <v>1522</v>
      </c>
      <c r="P11" s="22"/>
      <c r="Q11" s="22"/>
      <c r="R11" s="22"/>
      <c r="S11" s="23"/>
      <c r="T11" s="36">
        <v>452</v>
      </c>
      <c r="U11" s="22"/>
      <c r="V11" s="22"/>
      <c r="W11" s="22"/>
      <c r="X11" s="23"/>
      <c r="Y11" s="24">
        <f t="shared" si="1"/>
        <v>0.60251599999999994</v>
      </c>
      <c r="Z11" s="22"/>
      <c r="AA11" s="22"/>
      <c r="AB11" s="22"/>
      <c r="AC11" s="23"/>
      <c r="AD11" s="24">
        <v>1553</v>
      </c>
      <c r="AE11" s="22"/>
      <c r="AF11" s="22"/>
      <c r="AG11" s="22"/>
      <c r="AH11" s="23"/>
      <c r="AI11" s="26">
        <v>1612</v>
      </c>
      <c r="AJ11" s="22"/>
      <c r="AK11" s="22"/>
      <c r="AL11" s="22"/>
      <c r="AM11" s="23"/>
      <c r="AN11" s="26">
        <v>1652</v>
      </c>
      <c r="AO11" s="22"/>
      <c r="AP11" s="22"/>
      <c r="AQ11" s="22"/>
      <c r="AR11" s="23"/>
      <c r="AS11" s="26"/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456</v>
      </c>
      <c r="F12" s="22"/>
      <c r="G12" s="22"/>
      <c r="H12" s="22"/>
      <c r="I12" s="23"/>
      <c r="J12" s="32">
        <f t="shared" si="0"/>
        <v>0.57000000000000006</v>
      </c>
      <c r="K12" s="22"/>
      <c r="L12" s="22"/>
      <c r="M12" s="22"/>
      <c r="N12" s="23"/>
      <c r="O12" s="32">
        <v>1523</v>
      </c>
      <c r="P12" s="22"/>
      <c r="Q12" s="22"/>
      <c r="R12" s="22"/>
      <c r="S12" s="23"/>
      <c r="T12" s="36">
        <v>456</v>
      </c>
      <c r="U12" s="22"/>
      <c r="V12" s="22"/>
      <c r="W12" s="22"/>
      <c r="X12" s="23"/>
      <c r="Y12" s="24">
        <f t="shared" si="1"/>
        <v>0.60784799999999994</v>
      </c>
      <c r="Z12" s="22"/>
      <c r="AA12" s="22"/>
      <c r="AB12" s="22"/>
      <c r="AC12" s="23"/>
      <c r="AD12" s="24">
        <v>1556</v>
      </c>
      <c r="AE12" s="22"/>
      <c r="AF12" s="22"/>
      <c r="AG12" s="22"/>
      <c r="AH12" s="23"/>
      <c r="AI12" s="26">
        <v>1613</v>
      </c>
      <c r="AJ12" s="22"/>
      <c r="AK12" s="22"/>
      <c r="AL12" s="22"/>
      <c r="AM12" s="23"/>
      <c r="AN12" s="26">
        <v>1653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498</v>
      </c>
      <c r="F13" s="22"/>
      <c r="G13" s="22"/>
      <c r="H13" s="22"/>
      <c r="I13" s="23"/>
      <c r="J13" s="32">
        <f t="shared" si="0"/>
        <v>0.62250000000000005</v>
      </c>
      <c r="K13" s="22"/>
      <c r="L13" s="22"/>
      <c r="M13" s="22"/>
      <c r="N13" s="23"/>
      <c r="O13" s="32">
        <v>1525</v>
      </c>
      <c r="P13" s="22"/>
      <c r="Q13" s="22"/>
      <c r="R13" s="22"/>
      <c r="S13" s="23"/>
      <c r="T13" s="36">
        <v>498</v>
      </c>
      <c r="U13" s="22"/>
      <c r="V13" s="22"/>
      <c r="W13" s="22"/>
      <c r="X13" s="23"/>
      <c r="Y13" s="24">
        <f t="shared" si="1"/>
        <v>0.66383400000000004</v>
      </c>
      <c r="Z13" s="22"/>
      <c r="AA13" s="22"/>
      <c r="AB13" s="22"/>
      <c r="AC13" s="23"/>
      <c r="AD13" s="24">
        <v>1558</v>
      </c>
      <c r="AE13" s="22"/>
      <c r="AF13" s="22"/>
      <c r="AG13" s="22"/>
      <c r="AH13" s="23"/>
      <c r="AI13" s="26">
        <v>1614</v>
      </c>
      <c r="AJ13" s="22"/>
      <c r="AK13" s="22"/>
      <c r="AL13" s="22"/>
      <c r="AM13" s="23"/>
      <c r="AN13" s="26">
        <v>1654</v>
      </c>
      <c r="AO13" s="22"/>
      <c r="AP13" s="22"/>
      <c r="AQ13" s="22"/>
      <c r="AR13" s="23"/>
      <c r="AS13" s="26"/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293</v>
      </c>
      <c r="F14" s="22"/>
      <c r="G14" s="22"/>
      <c r="H14" s="22"/>
      <c r="I14" s="23"/>
      <c r="J14" s="32">
        <f t="shared" si="0"/>
        <v>0.36625000000000002</v>
      </c>
      <c r="K14" s="22"/>
      <c r="L14" s="22"/>
      <c r="M14" s="22"/>
      <c r="N14" s="23"/>
      <c r="O14" s="32">
        <v>1526</v>
      </c>
      <c r="P14" s="22"/>
      <c r="Q14" s="22"/>
      <c r="R14" s="22"/>
      <c r="S14" s="23"/>
      <c r="T14" s="24">
        <v>293</v>
      </c>
      <c r="U14" s="22"/>
      <c r="V14" s="22"/>
      <c r="W14" s="22"/>
      <c r="X14" s="23"/>
      <c r="Y14" s="24">
        <f t="shared" si="1"/>
        <v>0.390569</v>
      </c>
      <c r="Z14" s="22"/>
      <c r="AA14" s="22"/>
      <c r="AB14" s="22"/>
      <c r="AC14" s="23"/>
      <c r="AD14" s="24">
        <v>1600</v>
      </c>
      <c r="AE14" s="22"/>
      <c r="AF14" s="22"/>
      <c r="AG14" s="22"/>
      <c r="AH14" s="23"/>
      <c r="AI14" s="26">
        <v>1615</v>
      </c>
      <c r="AJ14" s="22"/>
      <c r="AK14" s="22"/>
      <c r="AL14" s="22"/>
      <c r="AM14" s="23"/>
      <c r="AN14" s="26">
        <v>1655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275</v>
      </c>
      <c r="F15" s="22"/>
      <c r="G15" s="22"/>
      <c r="H15" s="22"/>
      <c r="I15" s="23"/>
      <c r="J15" s="32">
        <f t="shared" si="0"/>
        <v>0.34375</v>
      </c>
      <c r="K15" s="22"/>
      <c r="L15" s="22"/>
      <c r="M15" s="22"/>
      <c r="N15" s="23"/>
      <c r="O15" s="32">
        <v>1528</v>
      </c>
      <c r="P15" s="22"/>
      <c r="Q15" s="22"/>
      <c r="R15" s="22"/>
      <c r="S15" s="23"/>
      <c r="T15" s="24">
        <v>275</v>
      </c>
      <c r="U15" s="22"/>
      <c r="V15" s="22"/>
      <c r="W15" s="22"/>
      <c r="X15" s="23"/>
      <c r="Y15" s="24">
        <f t="shared" si="1"/>
        <v>0.36657499999999998</v>
      </c>
      <c r="Z15" s="22"/>
      <c r="AA15" s="22"/>
      <c r="AB15" s="22"/>
      <c r="AC15" s="23"/>
      <c r="AD15" s="24">
        <v>1601</v>
      </c>
      <c r="AE15" s="22"/>
      <c r="AF15" s="22"/>
      <c r="AG15" s="22"/>
      <c r="AH15" s="23"/>
      <c r="AI15" s="26">
        <v>1616</v>
      </c>
      <c r="AJ15" s="22"/>
      <c r="AK15" s="22"/>
      <c r="AL15" s="22"/>
      <c r="AM15" s="23"/>
      <c r="AN15" s="26">
        <v>1656</v>
      </c>
      <c r="AO15" s="22"/>
      <c r="AP15" s="22"/>
      <c r="AQ15" s="22"/>
      <c r="AR15" s="23"/>
      <c r="AS15" s="26"/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452</v>
      </c>
      <c r="F16" s="22"/>
      <c r="G16" s="22"/>
      <c r="H16" s="22"/>
      <c r="I16" s="23"/>
      <c r="J16" s="32">
        <f t="shared" si="0"/>
        <v>0.56500000000000006</v>
      </c>
      <c r="K16" s="22"/>
      <c r="L16" s="22"/>
      <c r="M16" s="22"/>
      <c r="N16" s="23"/>
      <c r="O16" s="32">
        <v>1714</v>
      </c>
      <c r="P16" s="22"/>
      <c r="Q16" s="22"/>
      <c r="R16" s="22"/>
      <c r="S16" s="23"/>
      <c r="T16" s="24">
        <v>452</v>
      </c>
      <c r="U16" s="22"/>
      <c r="V16" s="22"/>
      <c r="W16" s="22"/>
      <c r="X16" s="23"/>
      <c r="Y16" s="24">
        <f t="shared" si="1"/>
        <v>0.60251599999999994</v>
      </c>
      <c r="Z16" s="22"/>
      <c r="AA16" s="22"/>
      <c r="AB16" s="22"/>
      <c r="AC16" s="23"/>
      <c r="AD16" s="24">
        <v>1731</v>
      </c>
      <c r="AE16" s="22"/>
      <c r="AF16" s="22"/>
      <c r="AG16" s="22"/>
      <c r="AH16" s="23"/>
      <c r="AI16" s="26">
        <v>1750</v>
      </c>
      <c r="AJ16" s="22"/>
      <c r="AK16" s="22"/>
      <c r="AL16" s="22"/>
      <c r="AM16" s="23"/>
      <c r="AN16" s="26">
        <v>1830</v>
      </c>
      <c r="AO16" s="22"/>
      <c r="AP16" s="22"/>
      <c r="AQ16" s="22"/>
      <c r="AR16" s="23"/>
      <c r="AS16" s="26"/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228</v>
      </c>
      <c r="F17" s="22"/>
      <c r="G17" s="22"/>
      <c r="H17" s="22"/>
      <c r="I17" s="23"/>
      <c r="J17" s="32">
        <f t="shared" si="0"/>
        <v>0.28500000000000003</v>
      </c>
      <c r="K17" s="22"/>
      <c r="L17" s="22"/>
      <c r="M17" s="22"/>
      <c r="N17" s="23"/>
      <c r="O17" s="32">
        <v>1716</v>
      </c>
      <c r="P17" s="22"/>
      <c r="Q17" s="22"/>
      <c r="R17" s="22"/>
      <c r="S17" s="23"/>
      <c r="T17" s="24">
        <v>228</v>
      </c>
      <c r="U17" s="22"/>
      <c r="V17" s="22"/>
      <c r="W17" s="22"/>
      <c r="X17" s="23"/>
      <c r="Y17" s="24">
        <f t="shared" si="1"/>
        <v>0.30392399999999997</v>
      </c>
      <c r="Z17" s="22"/>
      <c r="AA17" s="22"/>
      <c r="AB17" s="22"/>
      <c r="AC17" s="23"/>
      <c r="AD17" s="24">
        <v>1733</v>
      </c>
      <c r="AE17" s="22"/>
      <c r="AF17" s="22"/>
      <c r="AG17" s="22"/>
      <c r="AH17" s="23"/>
      <c r="AI17" s="26">
        <v>1751</v>
      </c>
      <c r="AJ17" s="22"/>
      <c r="AK17" s="22"/>
      <c r="AL17" s="22"/>
      <c r="AM17" s="23"/>
      <c r="AN17" s="26">
        <v>1831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>
        <v>474</v>
      </c>
      <c r="F18" s="22"/>
      <c r="G18" s="22"/>
      <c r="H18" s="22"/>
      <c r="I18" s="23"/>
      <c r="J18" s="32">
        <f t="shared" ref="J18:J25" si="2">E18*0.0012</f>
        <v>0.56879999999999997</v>
      </c>
      <c r="K18" s="22"/>
      <c r="L18" s="22"/>
      <c r="M18" s="22"/>
      <c r="N18" s="23"/>
      <c r="O18" s="31">
        <v>1254</v>
      </c>
      <c r="P18" s="22"/>
      <c r="Q18" s="22"/>
      <c r="R18" s="22"/>
      <c r="S18" s="23"/>
      <c r="T18" s="25">
        <v>474</v>
      </c>
      <c r="U18" s="22"/>
      <c r="V18" s="22"/>
      <c r="W18" s="22"/>
      <c r="X18" s="23"/>
      <c r="Y18" s="24">
        <f t="shared" si="1"/>
        <v>0.63184200000000001</v>
      </c>
      <c r="Z18" s="22"/>
      <c r="AA18" s="22"/>
      <c r="AB18" s="22"/>
      <c r="AC18" s="23"/>
      <c r="AD18" s="25">
        <v>1316</v>
      </c>
      <c r="AE18" s="22"/>
      <c r="AF18" s="22"/>
      <c r="AG18" s="22"/>
      <c r="AH18" s="23"/>
      <c r="AI18" s="21">
        <v>1338</v>
      </c>
      <c r="AJ18" s="22"/>
      <c r="AK18" s="22"/>
      <c r="AL18" s="22"/>
      <c r="AM18" s="23"/>
      <c r="AN18" s="21">
        <v>1412</v>
      </c>
      <c r="AO18" s="22"/>
      <c r="AP18" s="22"/>
      <c r="AQ18" s="22"/>
      <c r="AR18" s="23"/>
      <c r="AS18" s="21"/>
      <c r="AT18" s="22"/>
      <c r="AU18" s="22"/>
      <c r="AV18" s="22"/>
      <c r="AW18" s="23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>
        <v>412</v>
      </c>
      <c r="F19" s="22"/>
      <c r="G19" s="22"/>
      <c r="H19" s="22"/>
      <c r="I19" s="23"/>
      <c r="J19" s="32">
        <f t="shared" si="2"/>
        <v>0.49439999999999995</v>
      </c>
      <c r="K19" s="22"/>
      <c r="L19" s="22"/>
      <c r="M19" s="22"/>
      <c r="N19" s="23"/>
      <c r="O19" s="31">
        <v>1257</v>
      </c>
      <c r="P19" s="22"/>
      <c r="Q19" s="22"/>
      <c r="R19" s="22"/>
      <c r="S19" s="23"/>
      <c r="T19" s="34">
        <v>412</v>
      </c>
      <c r="U19" s="22"/>
      <c r="V19" s="22"/>
      <c r="W19" s="22"/>
      <c r="X19" s="23"/>
      <c r="Y19" s="24">
        <f t="shared" si="1"/>
        <v>0.54919600000000002</v>
      </c>
      <c r="Z19" s="22"/>
      <c r="AA19" s="22"/>
      <c r="AB19" s="22"/>
      <c r="AC19" s="23"/>
      <c r="AD19" s="25">
        <v>1317</v>
      </c>
      <c r="AE19" s="22"/>
      <c r="AF19" s="22"/>
      <c r="AG19" s="22"/>
      <c r="AH19" s="23"/>
      <c r="AI19" s="21">
        <v>1339</v>
      </c>
      <c r="AJ19" s="22"/>
      <c r="AK19" s="22"/>
      <c r="AL19" s="22"/>
      <c r="AM19" s="23"/>
      <c r="AN19" s="21">
        <v>1413</v>
      </c>
      <c r="AO19" s="22"/>
      <c r="AP19" s="22"/>
      <c r="AQ19" s="22"/>
      <c r="AR19" s="23"/>
      <c r="AS19" s="21"/>
      <c r="AT19" s="22"/>
      <c r="AU19" s="22"/>
      <c r="AV19" s="22"/>
      <c r="AW19" s="23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>
        <v>264</v>
      </c>
      <c r="F20" s="22"/>
      <c r="G20" s="22"/>
      <c r="H20" s="22"/>
      <c r="I20" s="23"/>
      <c r="J20" s="32">
        <f t="shared" si="2"/>
        <v>0.31679999999999997</v>
      </c>
      <c r="K20" s="22"/>
      <c r="L20" s="22"/>
      <c r="M20" s="22"/>
      <c r="N20" s="23"/>
      <c r="O20" s="31">
        <v>1259</v>
      </c>
      <c r="P20" s="22"/>
      <c r="Q20" s="22"/>
      <c r="R20" s="22"/>
      <c r="S20" s="23"/>
      <c r="T20" s="34">
        <v>264</v>
      </c>
      <c r="U20" s="22"/>
      <c r="V20" s="22"/>
      <c r="W20" s="22"/>
      <c r="X20" s="23"/>
      <c r="Y20" s="24">
        <f t="shared" si="1"/>
        <v>0.351912</v>
      </c>
      <c r="Z20" s="22"/>
      <c r="AA20" s="22"/>
      <c r="AB20" s="22"/>
      <c r="AC20" s="23"/>
      <c r="AD20" s="25">
        <v>1321</v>
      </c>
      <c r="AE20" s="22"/>
      <c r="AF20" s="22"/>
      <c r="AG20" s="22"/>
      <c r="AH20" s="23"/>
      <c r="AI20" s="21">
        <v>1340</v>
      </c>
      <c r="AJ20" s="22"/>
      <c r="AK20" s="22"/>
      <c r="AL20" s="22"/>
      <c r="AM20" s="23"/>
      <c r="AN20" s="21">
        <v>1414</v>
      </c>
      <c r="AO20" s="22"/>
      <c r="AP20" s="22"/>
      <c r="AQ20" s="22"/>
      <c r="AR20" s="23"/>
      <c r="AS20" s="21"/>
      <c r="AT20" s="22"/>
      <c r="AU20" s="22"/>
      <c r="AV20" s="22"/>
      <c r="AW20" s="23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>
        <v>279</v>
      </c>
      <c r="F21" s="22"/>
      <c r="G21" s="22"/>
      <c r="H21" s="22"/>
      <c r="I21" s="23"/>
      <c r="J21" s="32">
        <f t="shared" si="2"/>
        <v>0.33479999999999999</v>
      </c>
      <c r="K21" s="22"/>
      <c r="L21" s="22"/>
      <c r="M21" s="22"/>
      <c r="N21" s="23"/>
      <c r="O21" s="31">
        <v>1302</v>
      </c>
      <c r="P21" s="22"/>
      <c r="Q21" s="22"/>
      <c r="R21" s="22"/>
      <c r="S21" s="23"/>
      <c r="T21" s="34">
        <v>279</v>
      </c>
      <c r="U21" s="22"/>
      <c r="V21" s="22"/>
      <c r="W21" s="22"/>
      <c r="X21" s="23"/>
      <c r="Y21" s="24">
        <f t="shared" si="1"/>
        <v>0.37190699999999999</v>
      </c>
      <c r="Z21" s="22"/>
      <c r="AA21" s="22"/>
      <c r="AB21" s="22"/>
      <c r="AC21" s="23"/>
      <c r="AD21" s="25">
        <v>1323</v>
      </c>
      <c r="AE21" s="22"/>
      <c r="AF21" s="22"/>
      <c r="AG21" s="22"/>
      <c r="AH21" s="23"/>
      <c r="AI21" s="21">
        <v>1341</v>
      </c>
      <c r="AJ21" s="22"/>
      <c r="AK21" s="22"/>
      <c r="AL21" s="22"/>
      <c r="AM21" s="23"/>
      <c r="AN21" s="21">
        <v>1415</v>
      </c>
      <c r="AO21" s="22"/>
      <c r="AP21" s="22"/>
      <c r="AQ21" s="22"/>
      <c r="AR21" s="23"/>
      <c r="AS21" s="21"/>
      <c r="AT21" s="22"/>
      <c r="AU21" s="22"/>
      <c r="AV21" s="22"/>
      <c r="AW21" s="23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>
        <v>295</v>
      </c>
      <c r="F22" s="22"/>
      <c r="G22" s="22"/>
      <c r="H22" s="22"/>
      <c r="I22" s="23"/>
      <c r="J22" s="32">
        <f t="shared" si="2"/>
        <v>0.35399999999999998</v>
      </c>
      <c r="K22" s="22"/>
      <c r="L22" s="22"/>
      <c r="M22" s="22"/>
      <c r="N22" s="23"/>
      <c r="O22" s="31">
        <v>1402</v>
      </c>
      <c r="P22" s="22"/>
      <c r="Q22" s="22"/>
      <c r="R22" s="22"/>
      <c r="S22" s="23"/>
      <c r="T22" s="25">
        <v>295</v>
      </c>
      <c r="U22" s="22"/>
      <c r="V22" s="22"/>
      <c r="W22" s="22"/>
      <c r="X22" s="23"/>
      <c r="Y22" s="24">
        <f t="shared" si="1"/>
        <v>0.393235</v>
      </c>
      <c r="Z22" s="22"/>
      <c r="AA22" s="22"/>
      <c r="AB22" s="22"/>
      <c r="AC22" s="23"/>
      <c r="AD22" s="25">
        <v>1427</v>
      </c>
      <c r="AE22" s="22"/>
      <c r="AF22" s="22"/>
      <c r="AG22" s="22"/>
      <c r="AH22" s="23"/>
      <c r="AI22" s="21">
        <v>1444</v>
      </c>
      <c r="AJ22" s="22"/>
      <c r="AK22" s="22"/>
      <c r="AL22" s="22"/>
      <c r="AM22" s="23"/>
      <c r="AN22" s="21">
        <v>1524</v>
      </c>
      <c r="AO22" s="22"/>
      <c r="AP22" s="22"/>
      <c r="AQ22" s="22"/>
      <c r="AR22" s="23"/>
      <c r="AS22" s="21"/>
      <c r="AT22" s="22"/>
      <c r="AU22" s="22"/>
      <c r="AV22" s="22"/>
      <c r="AW22" s="23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>
        <v>274</v>
      </c>
      <c r="F23" s="22"/>
      <c r="G23" s="22"/>
      <c r="H23" s="22"/>
      <c r="I23" s="23"/>
      <c r="J23" s="32">
        <f t="shared" si="2"/>
        <v>0.32879999999999998</v>
      </c>
      <c r="K23" s="22"/>
      <c r="L23" s="22"/>
      <c r="M23" s="22"/>
      <c r="N23" s="23"/>
      <c r="O23" s="31">
        <v>1404</v>
      </c>
      <c r="P23" s="22"/>
      <c r="Q23" s="22"/>
      <c r="R23" s="22"/>
      <c r="S23" s="23"/>
      <c r="T23" s="25">
        <v>274</v>
      </c>
      <c r="U23" s="22"/>
      <c r="V23" s="22"/>
      <c r="W23" s="22"/>
      <c r="X23" s="23"/>
      <c r="Y23" s="24">
        <f t="shared" si="1"/>
        <v>0.36524200000000001</v>
      </c>
      <c r="Z23" s="22"/>
      <c r="AA23" s="22"/>
      <c r="AB23" s="22"/>
      <c r="AC23" s="23"/>
      <c r="AD23" s="25">
        <v>1430</v>
      </c>
      <c r="AE23" s="22"/>
      <c r="AF23" s="22"/>
      <c r="AG23" s="22"/>
      <c r="AH23" s="23"/>
      <c r="AI23" s="21">
        <v>1445</v>
      </c>
      <c r="AJ23" s="22"/>
      <c r="AK23" s="22"/>
      <c r="AL23" s="22"/>
      <c r="AM23" s="23"/>
      <c r="AN23" s="21">
        <v>1525</v>
      </c>
      <c r="AO23" s="22"/>
      <c r="AP23" s="22"/>
      <c r="AQ23" s="22"/>
      <c r="AR23" s="23"/>
      <c r="AS23" s="21"/>
      <c r="AT23" s="22"/>
      <c r="AU23" s="22"/>
      <c r="AV23" s="22"/>
      <c r="AW23" s="23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>
        <v>425</v>
      </c>
      <c r="F24" s="22"/>
      <c r="G24" s="22"/>
      <c r="H24" s="22"/>
      <c r="I24" s="23"/>
      <c r="J24" s="32">
        <f t="shared" si="2"/>
        <v>0.51</v>
      </c>
      <c r="K24" s="22"/>
      <c r="L24" s="22"/>
      <c r="M24" s="22"/>
      <c r="N24" s="23"/>
      <c r="O24" s="31">
        <v>1407</v>
      </c>
      <c r="P24" s="22"/>
      <c r="Q24" s="22"/>
      <c r="R24" s="22"/>
      <c r="S24" s="23"/>
      <c r="T24" s="25">
        <v>425</v>
      </c>
      <c r="U24" s="22"/>
      <c r="V24" s="22"/>
      <c r="W24" s="22"/>
      <c r="X24" s="23"/>
      <c r="Y24" s="24">
        <f t="shared" si="1"/>
        <v>0.56652499999999995</v>
      </c>
      <c r="Z24" s="22"/>
      <c r="AA24" s="22"/>
      <c r="AB24" s="22"/>
      <c r="AC24" s="23"/>
      <c r="AD24" s="25">
        <v>1434</v>
      </c>
      <c r="AE24" s="22"/>
      <c r="AF24" s="22"/>
      <c r="AG24" s="22"/>
      <c r="AH24" s="23"/>
      <c r="AI24" s="21">
        <v>1446</v>
      </c>
      <c r="AJ24" s="22"/>
      <c r="AK24" s="22"/>
      <c r="AL24" s="22"/>
      <c r="AM24" s="23"/>
      <c r="AN24" s="21">
        <v>1526</v>
      </c>
      <c r="AO24" s="22"/>
      <c r="AP24" s="22"/>
      <c r="AQ24" s="22"/>
      <c r="AR24" s="23"/>
      <c r="AS24" s="21"/>
      <c r="AT24" s="22"/>
      <c r="AU24" s="22"/>
      <c r="AV24" s="22"/>
      <c r="AW24" s="23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>
        <v>280</v>
      </c>
      <c r="F25" s="22"/>
      <c r="G25" s="22"/>
      <c r="H25" s="22"/>
      <c r="I25" s="23"/>
      <c r="J25" s="32">
        <f t="shared" si="2"/>
        <v>0.33599999999999997</v>
      </c>
      <c r="K25" s="22"/>
      <c r="L25" s="22"/>
      <c r="M25" s="22"/>
      <c r="N25" s="23"/>
      <c r="O25" s="31">
        <v>1409</v>
      </c>
      <c r="P25" s="22"/>
      <c r="Q25" s="22"/>
      <c r="R25" s="22"/>
      <c r="S25" s="23"/>
      <c r="T25" s="25">
        <v>280</v>
      </c>
      <c r="U25" s="22"/>
      <c r="V25" s="22"/>
      <c r="W25" s="22"/>
      <c r="X25" s="23"/>
      <c r="Y25" s="24">
        <f t="shared" si="1"/>
        <v>0.37324000000000002</v>
      </c>
      <c r="Z25" s="22"/>
      <c r="AA25" s="22"/>
      <c r="AB25" s="22"/>
      <c r="AC25" s="23"/>
      <c r="AD25" s="25">
        <v>1436</v>
      </c>
      <c r="AE25" s="22"/>
      <c r="AF25" s="22"/>
      <c r="AG25" s="22"/>
      <c r="AH25" s="23"/>
      <c r="AI25" s="21">
        <v>1447</v>
      </c>
      <c r="AJ25" s="22"/>
      <c r="AK25" s="22"/>
      <c r="AL25" s="22"/>
      <c r="AM25" s="23"/>
      <c r="AN25" s="21">
        <v>1527</v>
      </c>
      <c r="AO25" s="22"/>
      <c r="AP25" s="22"/>
      <c r="AQ25" s="22"/>
      <c r="AR25" s="23"/>
      <c r="AS25" s="21"/>
      <c r="AT25" s="22"/>
      <c r="AU25" s="22"/>
      <c r="AV25" s="22"/>
      <c r="AW25" s="23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288</v>
      </c>
      <c r="F26" s="22"/>
      <c r="G26" s="22"/>
      <c r="H26" s="22"/>
      <c r="I26" s="23"/>
      <c r="J26" s="32">
        <f t="shared" ref="J26:J39" si="3">E26*0.00125</f>
        <v>0.36</v>
      </c>
      <c r="K26" s="22"/>
      <c r="L26" s="22"/>
      <c r="M26" s="22"/>
      <c r="N26" s="23"/>
      <c r="O26" s="31">
        <v>756</v>
      </c>
      <c r="P26" s="22"/>
      <c r="Q26" s="22"/>
      <c r="R26" s="22"/>
      <c r="S26" s="23"/>
      <c r="T26" s="25">
        <v>288</v>
      </c>
      <c r="U26" s="22"/>
      <c r="V26" s="22"/>
      <c r="W26" s="22"/>
      <c r="X26" s="23"/>
      <c r="Y26" s="24">
        <f t="shared" si="1"/>
        <v>0.38390400000000002</v>
      </c>
      <c r="Z26" s="22"/>
      <c r="AA26" s="22"/>
      <c r="AB26" s="22"/>
      <c r="AC26" s="23"/>
      <c r="AD26" s="25">
        <v>818</v>
      </c>
      <c r="AE26" s="22"/>
      <c r="AF26" s="22"/>
      <c r="AG26" s="22"/>
      <c r="AH26" s="23"/>
      <c r="AI26" s="21">
        <v>835</v>
      </c>
      <c r="AJ26" s="22"/>
      <c r="AK26" s="22"/>
      <c r="AL26" s="22"/>
      <c r="AM26" s="23"/>
      <c r="AN26" s="21">
        <v>915</v>
      </c>
      <c r="AO26" s="22"/>
      <c r="AP26" s="22"/>
      <c r="AQ26" s="22"/>
      <c r="AR26" s="23"/>
      <c r="AS26" s="21"/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284</v>
      </c>
      <c r="F27" s="22"/>
      <c r="G27" s="22"/>
      <c r="H27" s="22"/>
      <c r="I27" s="23"/>
      <c r="J27" s="32">
        <f t="shared" si="3"/>
        <v>0.35499999999999998</v>
      </c>
      <c r="K27" s="22"/>
      <c r="L27" s="22"/>
      <c r="M27" s="22"/>
      <c r="N27" s="23"/>
      <c r="O27" s="31">
        <v>758</v>
      </c>
      <c r="P27" s="22"/>
      <c r="Q27" s="22"/>
      <c r="R27" s="22"/>
      <c r="S27" s="23"/>
      <c r="T27" s="34">
        <v>284</v>
      </c>
      <c r="U27" s="22"/>
      <c r="V27" s="22"/>
      <c r="W27" s="22"/>
      <c r="X27" s="23"/>
      <c r="Y27" s="24">
        <f t="shared" si="1"/>
        <v>0.37857200000000002</v>
      </c>
      <c r="Z27" s="22"/>
      <c r="AA27" s="22"/>
      <c r="AB27" s="22"/>
      <c r="AC27" s="23"/>
      <c r="AD27" s="25">
        <v>819</v>
      </c>
      <c r="AE27" s="22"/>
      <c r="AF27" s="22"/>
      <c r="AG27" s="22"/>
      <c r="AH27" s="23"/>
      <c r="AI27" s="21">
        <v>836</v>
      </c>
      <c r="AJ27" s="22"/>
      <c r="AK27" s="22"/>
      <c r="AL27" s="22"/>
      <c r="AM27" s="23"/>
      <c r="AN27" s="21">
        <v>916</v>
      </c>
      <c r="AO27" s="22"/>
      <c r="AP27" s="22"/>
      <c r="AQ27" s="22"/>
      <c r="AR27" s="23"/>
      <c r="AS27" s="21"/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282</v>
      </c>
      <c r="F28" s="22"/>
      <c r="G28" s="22"/>
      <c r="H28" s="22"/>
      <c r="I28" s="23"/>
      <c r="J28" s="32">
        <f t="shared" si="3"/>
        <v>0.35249999999999998</v>
      </c>
      <c r="K28" s="22"/>
      <c r="L28" s="22"/>
      <c r="M28" s="22"/>
      <c r="N28" s="23"/>
      <c r="O28" s="31">
        <v>800</v>
      </c>
      <c r="P28" s="22"/>
      <c r="Q28" s="22"/>
      <c r="R28" s="22"/>
      <c r="S28" s="23"/>
      <c r="T28" s="34">
        <v>282</v>
      </c>
      <c r="U28" s="22"/>
      <c r="V28" s="22"/>
      <c r="W28" s="22"/>
      <c r="X28" s="23"/>
      <c r="Y28" s="24">
        <f t="shared" si="1"/>
        <v>0.37590600000000002</v>
      </c>
      <c r="Z28" s="22"/>
      <c r="AA28" s="22"/>
      <c r="AB28" s="22"/>
      <c r="AC28" s="23"/>
      <c r="AD28" s="25">
        <v>820</v>
      </c>
      <c r="AE28" s="22"/>
      <c r="AF28" s="22"/>
      <c r="AG28" s="22"/>
      <c r="AH28" s="23"/>
      <c r="AI28" s="21">
        <v>837</v>
      </c>
      <c r="AJ28" s="22"/>
      <c r="AK28" s="22"/>
      <c r="AL28" s="22"/>
      <c r="AM28" s="23"/>
      <c r="AN28" s="21">
        <v>917</v>
      </c>
      <c r="AO28" s="22"/>
      <c r="AP28" s="22"/>
      <c r="AQ28" s="22"/>
      <c r="AR28" s="23"/>
      <c r="AS28" s="21"/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268</v>
      </c>
      <c r="F29" s="22"/>
      <c r="G29" s="22"/>
      <c r="H29" s="22"/>
      <c r="I29" s="23"/>
      <c r="J29" s="32">
        <f t="shared" si="3"/>
        <v>0.33500000000000002</v>
      </c>
      <c r="K29" s="22"/>
      <c r="L29" s="22"/>
      <c r="M29" s="22"/>
      <c r="N29" s="23"/>
      <c r="O29" s="31">
        <v>802</v>
      </c>
      <c r="P29" s="22"/>
      <c r="Q29" s="22"/>
      <c r="R29" s="22"/>
      <c r="S29" s="23"/>
      <c r="T29" s="34">
        <v>268</v>
      </c>
      <c r="U29" s="22"/>
      <c r="V29" s="22"/>
      <c r="W29" s="22"/>
      <c r="X29" s="23"/>
      <c r="Y29" s="24">
        <f t="shared" si="1"/>
        <v>0.35724400000000001</v>
      </c>
      <c r="Z29" s="22"/>
      <c r="AA29" s="22"/>
      <c r="AB29" s="22"/>
      <c r="AC29" s="23"/>
      <c r="AD29" s="25">
        <v>822</v>
      </c>
      <c r="AE29" s="22"/>
      <c r="AF29" s="22"/>
      <c r="AG29" s="22"/>
      <c r="AH29" s="23"/>
      <c r="AI29" s="21">
        <v>838</v>
      </c>
      <c r="AJ29" s="22"/>
      <c r="AK29" s="22"/>
      <c r="AL29" s="22"/>
      <c r="AM29" s="23"/>
      <c r="AN29" s="21">
        <v>918</v>
      </c>
      <c r="AO29" s="22"/>
      <c r="AP29" s="22"/>
      <c r="AQ29" s="22"/>
      <c r="AR29" s="23"/>
      <c r="AS29" s="21"/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302</v>
      </c>
      <c r="F30" s="22"/>
      <c r="G30" s="22"/>
      <c r="H30" s="22"/>
      <c r="I30" s="23"/>
      <c r="J30" s="32">
        <f t="shared" si="3"/>
        <v>0.3775</v>
      </c>
      <c r="K30" s="22"/>
      <c r="L30" s="22"/>
      <c r="M30" s="22"/>
      <c r="N30" s="23"/>
      <c r="O30" s="31">
        <v>804</v>
      </c>
      <c r="P30" s="22"/>
      <c r="Q30" s="22"/>
      <c r="R30" s="22"/>
      <c r="S30" s="23"/>
      <c r="T30" s="25">
        <v>302</v>
      </c>
      <c r="U30" s="22"/>
      <c r="V30" s="22"/>
      <c r="W30" s="22"/>
      <c r="X30" s="23"/>
      <c r="Y30" s="24">
        <f t="shared" si="1"/>
        <v>0.40256599999999998</v>
      </c>
      <c r="Z30" s="22"/>
      <c r="AA30" s="22"/>
      <c r="AB30" s="22"/>
      <c r="AC30" s="23"/>
      <c r="AD30" s="25">
        <v>823</v>
      </c>
      <c r="AE30" s="22"/>
      <c r="AF30" s="22"/>
      <c r="AG30" s="22"/>
      <c r="AH30" s="23"/>
      <c r="AI30" s="21">
        <v>839</v>
      </c>
      <c r="AJ30" s="22"/>
      <c r="AK30" s="22"/>
      <c r="AL30" s="22"/>
      <c r="AM30" s="23"/>
      <c r="AN30" s="21">
        <v>919</v>
      </c>
      <c r="AO30" s="22"/>
      <c r="AP30" s="22"/>
      <c r="AQ30" s="22"/>
      <c r="AR30" s="23"/>
      <c r="AS30" s="21"/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288</v>
      </c>
      <c r="F31" s="22"/>
      <c r="G31" s="22"/>
      <c r="H31" s="22"/>
      <c r="I31" s="23"/>
      <c r="J31" s="32">
        <f t="shared" si="3"/>
        <v>0.36</v>
      </c>
      <c r="K31" s="22"/>
      <c r="L31" s="22"/>
      <c r="M31" s="22"/>
      <c r="N31" s="23"/>
      <c r="O31" s="31">
        <v>851</v>
      </c>
      <c r="P31" s="22"/>
      <c r="Q31" s="22"/>
      <c r="R31" s="22"/>
      <c r="S31" s="23"/>
      <c r="T31" s="25">
        <v>288</v>
      </c>
      <c r="U31" s="22"/>
      <c r="V31" s="22"/>
      <c r="W31" s="22"/>
      <c r="X31" s="23"/>
      <c r="Y31" s="24">
        <f t="shared" si="1"/>
        <v>0.38390400000000002</v>
      </c>
      <c r="Z31" s="22"/>
      <c r="AA31" s="22"/>
      <c r="AB31" s="22"/>
      <c r="AC31" s="23"/>
      <c r="AD31" s="25">
        <v>910</v>
      </c>
      <c r="AE31" s="22"/>
      <c r="AF31" s="22"/>
      <c r="AG31" s="22"/>
      <c r="AH31" s="23"/>
      <c r="AI31" s="21">
        <v>925</v>
      </c>
      <c r="AJ31" s="22"/>
      <c r="AK31" s="22"/>
      <c r="AL31" s="22"/>
      <c r="AM31" s="23"/>
      <c r="AN31" s="21">
        <v>1005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298</v>
      </c>
      <c r="F32" s="22"/>
      <c r="G32" s="22"/>
      <c r="H32" s="22"/>
      <c r="I32" s="23"/>
      <c r="J32" s="32">
        <f t="shared" si="3"/>
        <v>0.3725</v>
      </c>
      <c r="K32" s="22"/>
      <c r="L32" s="22"/>
      <c r="M32" s="22"/>
      <c r="N32" s="23"/>
      <c r="O32" s="31">
        <v>856</v>
      </c>
      <c r="P32" s="22"/>
      <c r="Q32" s="22"/>
      <c r="R32" s="22"/>
      <c r="S32" s="23"/>
      <c r="T32" s="25">
        <v>298</v>
      </c>
      <c r="U32" s="22"/>
      <c r="V32" s="22"/>
      <c r="W32" s="22"/>
      <c r="X32" s="23"/>
      <c r="Y32" s="24">
        <f t="shared" si="1"/>
        <v>0.39723399999999998</v>
      </c>
      <c r="Z32" s="22"/>
      <c r="AA32" s="22"/>
      <c r="AB32" s="22"/>
      <c r="AC32" s="23"/>
      <c r="AD32" s="25">
        <v>912</v>
      </c>
      <c r="AE32" s="22"/>
      <c r="AF32" s="22"/>
      <c r="AG32" s="22"/>
      <c r="AH32" s="23"/>
      <c r="AI32" s="21">
        <v>926</v>
      </c>
      <c r="AJ32" s="22"/>
      <c r="AK32" s="22"/>
      <c r="AL32" s="22"/>
      <c r="AM32" s="23"/>
      <c r="AN32" s="21">
        <v>1006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422</v>
      </c>
      <c r="F33" s="22"/>
      <c r="G33" s="22"/>
      <c r="H33" s="22"/>
      <c r="I33" s="23"/>
      <c r="J33" s="32">
        <f t="shared" si="3"/>
        <v>0.52749999999999997</v>
      </c>
      <c r="K33" s="22"/>
      <c r="L33" s="22"/>
      <c r="M33" s="22"/>
      <c r="N33" s="23"/>
      <c r="O33" s="31">
        <v>858</v>
      </c>
      <c r="P33" s="22"/>
      <c r="Q33" s="22"/>
      <c r="R33" s="22"/>
      <c r="S33" s="23"/>
      <c r="T33" s="25">
        <v>422</v>
      </c>
      <c r="U33" s="22"/>
      <c r="V33" s="22"/>
      <c r="W33" s="22"/>
      <c r="X33" s="23"/>
      <c r="Y33" s="24">
        <f t="shared" si="1"/>
        <v>0.56252599999999997</v>
      </c>
      <c r="Z33" s="22"/>
      <c r="AA33" s="22"/>
      <c r="AB33" s="22"/>
      <c r="AC33" s="23"/>
      <c r="AD33" s="25">
        <v>913</v>
      </c>
      <c r="AE33" s="22"/>
      <c r="AF33" s="22"/>
      <c r="AG33" s="22"/>
      <c r="AH33" s="23"/>
      <c r="AI33" s="21">
        <v>927</v>
      </c>
      <c r="AJ33" s="22"/>
      <c r="AK33" s="22"/>
      <c r="AL33" s="22"/>
      <c r="AM33" s="23"/>
      <c r="AN33" s="21">
        <v>1007</v>
      </c>
      <c r="AO33" s="22"/>
      <c r="AP33" s="22"/>
      <c r="AQ33" s="22"/>
      <c r="AR33" s="23"/>
      <c r="AS33" s="21"/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279</v>
      </c>
      <c r="F34" s="22"/>
      <c r="G34" s="22"/>
      <c r="H34" s="22"/>
      <c r="I34" s="23"/>
      <c r="J34" s="32">
        <f t="shared" si="3"/>
        <v>0.34875</v>
      </c>
      <c r="K34" s="22"/>
      <c r="L34" s="22"/>
      <c r="M34" s="22"/>
      <c r="N34" s="23"/>
      <c r="O34" s="31">
        <v>859</v>
      </c>
      <c r="P34" s="22"/>
      <c r="Q34" s="22"/>
      <c r="R34" s="22"/>
      <c r="S34" s="23"/>
      <c r="T34" s="34">
        <v>279</v>
      </c>
      <c r="U34" s="22"/>
      <c r="V34" s="22"/>
      <c r="W34" s="22"/>
      <c r="X34" s="23"/>
      <c r="Y34" s="24">
        <f t="shared" si="1"/>
        <v>0.37190699999999999</v>
      </c>
      <c r="Z34" s="22"/>
      <c r="AA34" s="22"/>
      <c r="AB34" s="22"/>
      <c r="AC34" s="23"/>
      <c r="AD34" s="25">
        <v>914</v>
      </c>
      <c r="AE34" s="22"/>
      <c r="AF34" s="22"/>
      <c r="AG34" s="22"/>
      <c r="AH34" s="23"/>
      <c r="AI34" s="21">
        <v>928</v>
      </c>
      <c r="AJ34" s="22"/>
      <c r="AK34" s="22"/>
      <c r="AL34" s="22"/>
      <c r="AM34" s="23"/>
      <c r="AN34" s="21">
        <v>1008</v>
      </c>
      <c r="AO34" s="22"/>
      <c r="AP34" s="22"/>
      <c r="AQ34" s="22"/>
      <c r="AR34" s="23"/>
      <c r="AS34" s="21"/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285</v>
      </c>
      <c r="F35" s="22"/>
      <c r="G35" s="22"/>
      <c r="H35" s="22"/>
      <c r="I35" s="23"/>
      <c r="J35" s="32">
        <f t="shared" si="3"/>
        <v>0.35625000000000001</v>
      </c>
      <c r="K35" s="22"/>
      <c r="L35" s="22"/>
      <c r="M35" s="22"/>
      <c r="N35" s="23"/>
      <c r="O35" s="31">
        <v>901</v>
      </c>
      <c r="P35" s="22"/>
      <c r="Q35" s="22"/>
      <c r="R35" s="22"/>
      <c r="S35" s="23"/>
      <c r="T35" s="34">
        <v>285</v>
      </c>
      <c r="U35" s="22"/>
      <c r="V35" s="22"/>
      <c r="W35" s="22"/>
      <c r="X35" s="23"/>
      <c r="Y35" s="24">
        <f t="shared" si="1"/>
        <v>0.37990499999999999</v>
      </c>
      <c r="Z35" s="22"/>
      <c r="AA35" s="22"/>
      <c r="AB35" s="22"/>
      <c r="AC35" s="23"/>
      <c r="AD35" s="25">
        <v>915</v>
      </c>
      <c r="AE35" s="22"/>
      <c r="AF35" s="22"/>
      <c r="AG35" s="22"/>
      <c r="AH35" s="23"/>
      <c r="AI35" s="21">
        <v>929</v>
      </c>
      <c r="AJ35" s="22"/>
      <c r="AK35" s="22"/>
      <c r="AL35" s="22"/>
      <c r="AM35" s="23"/>
      <c r="AN35" s="21">
        <v>1009</v>
      </c>
      <c r="AO35" s="22"/>
      <c r="AP35" s="22"/>
      <c r="AQ35" s="22"/>
      <c r="AR35" s="23"/>
      <c r="AS35" s="21"/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245</v>
      </c>
      <c r="F36" s="22"/>
      <c r="G36" s="22"/>
      <c r="H36" s="22"/>
      <c r="I36" s="23"/>
      <c r="J36" s="32">
        <f t="shared" si="3"/>
        <v>0.30625000000000002</v>
      </c>
      <c r="K36" s="22"/>
      <c r="L36" s="22"/>
      <c r="M36" s="22"/>
      <c r="N36" s="23"/>
      <c r="O36" s="31">
        <v>1003</v>
      </c>
      <c r="P36" s="22"/>
      <c r="Q36" s="22"/>
      <c r="R36" s="22"/>
      <c r="S36" s="23"/>
      <c r="T36" s="34">
        <v>245</v>
      </c>
      <c r="U36" s="22"/>
      <c r="V36" s="22"/>
      <c r="W36" s="22"/>
      <c r="X36" s="23"/>
      <c r="Y36" s="24">
        <f t="shared" si="1"/>
        <v>0.32658500000000001</v>
      </c>
      <c r="Z36" s="22"/>
      <c r="AA36" s="22"/>
      <c r="AB36" s="22"/>
      <c r="AC36" s="23"/>
      <c r="AD36" s="25">
        <v>1039</v>
      </c>
      <c r="AE36" s="22"/>
      <c r="AF36" s="22"/>
      <c r="AG36" s="22"/>
      <c r="AH36" s="23"/>
      <c r="AI36" s="21">
        <v>1049</v>
      </c>
      <c r="AJ36" s="22"/>
      <c r="AK36" s="22"/>
      <c r="AL36" s="22"/>
      <c r="AM36" s="23"/>
      <c r="AN36" s="21">
        <v>1129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449</v>
      </c>
      <c r="F37" s="22"/>
      <c r="G37" s="22"/>
      <c r="H37" s="22"/>
      <c r="I37" s="23"/>
      <c r="J37" s="32">
        <f t="shared" si="3"/>
        <v>0.56125000000000003</v>
      </c>
      <c r="K37" s="22"/>
      <c r="L37" s="22"/>
      <c r="M37" s="22"/>
      <c r="N37" s="23"/>
      <c r="O37" s="31">
        <v>1005</v>
      </c>
      <c r="P37" s="22"/>
      <c r="Q37" s="22"/>
      <c r="R37" s="22"/>
      <c r="S37" s="23"/>
      <c r="T37" s="34">
        <v>449</v>
      </c>
      <c r="U37" s="22"/>
      <c r="V37" s="22"/>
      <c r="W37" s="22"/>
      <c r="X37" s="23"/>
      <c r="Y37" s="24">
        <f t="shared" si="1"/>
        <v>0.59851699999999997</v>
      </c>
      <c r="Z37" s="22"/>
      <c r="AA37" s="22"/>
      <c r="AB37" s="22"/>
      <c r="AC37" s="23"/>
      <c r="AD37" s="25">
        <v>1040</v>
      </c>
      <c r="AE37" s="22"/>
      <c r="AF37" s="22"/>
      <c r="AG37" s="22"/>
      <c r="AH37" s="23"/>
      <c r="AI37" s="21">
        <v>1050</v>
      </c>
      <c r="AJ37" s="22"/>
      <c r="AK37" s="22"/>
      <c r="AL37" s="22"/>
      <c r="AM37" s="23"/>
      <c r="AN37" s="21">
        <v>1130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476</v>
      </c>
      <c r="F38" s="22"/>
      <c r="G38" s="22"/>
      <c r="H38" s="22"/>
      <c r="I38" s="23"/>
      <c r="J38" s="32">
        <f t="shared" si="3"/>
        <v>0.59499999999999997</v>
      </c>
      <c r="K38" s="22"/>
      <c r="L38" s="22"/>
      <c r="M38" s="22"/>
      <c r="N38" s="23"/>
      <c r="O38" s="31">
        <v>1007</v>
      </c>
      <c r="P38" s="22"/>
      <c r="Q38" s="22"/>
      <c r="R38" s="22"/>
      <c r="S38" s="23"/>
      <c r="T38" s="34">
        <v>476</v>
      </c>
      <c r="U38" s="22"/>
      <c r="V38" s="22"/>
      <c r="W38" s="22"/>
      <c r="X38" s="23"/>
      <c r="Y38" s="24">
        <f t="shared" si="1"/>
        <v>0.63450799999999996</v>
      </c>
      <c r="Z38" s="22"/>
      <c r="AA38" s="22"/>
      <c r="AB38" s="22"/>
      <c r="AC38" s="23"/>
      <c r="AD38" s="25">
        <v>1041</v>
      </c>
      <c r="AE38" s="22"/>
      <c r="AF38" s="22"/>
      <c r="AG38" s="22"/>
      <c r="AH38" s="23"/>
      <c r="AI38" s="21">
        <v>1051</v>
      </c>
      <c r="AJ38" s="22"/>
      <c r="AK38" s="22"/>
      <c r="AL38" s="22"/>
      <c r="AM38" s="23"/>
      <c r="AN38" s="21">
        <v>1131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288</v>
      </c>
      <c r="F39" s="22"/>
      <c r="G39" s="22"/>
      <c r="H39" s="22"/>
      <c r="I39" s="23"/>
      <c r="J39" s="32">
        <f t="shared" si="3"/>
        <v>0.36</v>
      </c>
      <c r="K39" s="22"/>
      <c r="L39" s="22"/>
      <c r="M39" s="22"/>
      <c r="N39" s="23"/>
      <c r="O39" s="31">
        <v>1011</v>
      </c>
      <c r="P39" s="22"/>
      <c r="Q39" s="22"/>
      <c r="R39" s="22"/>
      <c r="S39" s="23"/>
      <c r="T39" s="25">
        <v>288</v>
      </c>
      <c r="U39" s="22"/>
      <c r="V39" s="22"/>
      <c r="W39" s="22"/>
      <c r="X39" s="23"/>
      <c r="Y39" s="24">
        <f t="shared" si="1"/>
        <v>0.38390400000000002</v>
      </c>
      <c r="Z39" s="22"/>
      <c r="AA39" s="22"/>
      <c r="AB39" s="22"/>
      <c r="AC39" s="23"/>
      <c r="AD39" s="25">
        <v>1042</v>
      </c>
      <c r="AE39" s="22"/>
      <c r="AF39" s="22"/>
      <c r="AG39" s="22"/>
      <c r="AH39" s="23"/>
      <c r="AI39" s="21">
        <v>1052</v>
      </c>
      <c r="AJ39" s="22"/>
      <c r="AK39" s="22"/>
      <c r="AL39" s="22"/>
      <c r="AM39" s="23"/>
      <c r="AN39" s="21">
        <v>1132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>
        <v>250</v>
      </c>
      <c r="F40" s="22"/>
      <c r="G40" s="22"/>
      <c r="H40" s="22"/>
      <c r="I40" s="23"/>
      <c r="J40" s="32">
        <f t="shared" ref="J40:J46" si="4">E40*0.0012</f>
        <v>0.3</v>
      </c>
      <c r="K40" s="22"/>
      <c r="L40" s="22"/>
      <c r="M40" s="22"/>
      <c r="N40" s="23"/>
      <c r="O40" s="31">
        <v>1014</v>
      </c>
      <c r="P40" s="22"/>
      <c r="Q40" s="22"/>
      <c r="R40" s="22"/>
      <c r="S40" s="23"/>
      <c r="T40" s="25">
        <v>250</v>
      </c>
      <c r="U40" s="22"/>
      <c r="V40" s="22"/>
      <c r="W40" s="22"/>
      <c r="X40" s="23"/>
      <c r="Y40" s="24">
        <f t="shared" si="1"/>
        <v>0.33324999999999999</v>
      </c>
      <c r="Z40" s="22"/>
      <c r="AA40" s="22"/>
      <c r="AB40" s="22"/>
      <c r="AC40" s="23"/>
      <c r="AD40" s="25">
        <v>1045</v>
      </c>
      <c r="AE40" s="22"/>
      <c r="AF40" s="22"/>
      <c r="AG40" s="22"/>
      <c r="AH40" s="23"/>
      <c r="AI40" s="21">
        <v>1053</v>
      </c>
      <c r="AJ40" s="22"/>
      <c r="AK40" s="22"/>
      <c r="AL40" s="22"/>
      <c r="AM40" s="23"/>
      <c r="AN40" s="21">
        <v>1133</v>
      </c>
      <c r="AO40" s="22"/>
      <c r="AP40" s="22"/>
      <c r="AQ40" s="22"/>
      <c r="AR40" s="23"/>
      <c r="AS40" s="21"/>
      <c r="AT40" s="22"/>
      <c r="AU40" s="22"/>
      <c r="AV40" s="22"/>
      <c r="AW40" s="23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>
        <v>281</v>
      </c>
      <c r="F41" s="22"/>
      <c r="G41" s="22"/>
      <c r="H41" s="22"/>
      <c r="I41" s="23"/>
      <c r="J41" s="32">
        <f t="shared" si="4"/>
        <v>0.33719999999999994</v>
      </c>
      <c r="K41" s="22"/>
      <c r="L41" s="22"/>
      <c r="M41" s="22"/>
      <c r="N41" s="23"/>
      <c r="O41" s="31">
        <v>1113</v>
      </c>
      <c r="P41" s="22"/>
      <c r="Q41" s="22"/>
      <c r="R41" s="22"/>
      <c r="S41" s="23"/>
      <c r="T41" s="34">
        <v>281</v>
      </c>
      <c r="U41" s="22"/>
      <c r="V41" s="22"/>
      <c r="W41" s="22"/>
      <c r="X41" s="23"/>
      <c r="Y41" s="24">
        <f t="shared" si="1"/>
        <v>0.37457299999999999</v>
      </c>
      <c r="Z41" s="22"/>
      <c r="AA41" s="22"/>
      <c r="AB41" s="22"/>
      <c r="AC41" s="23"/>
      <c r="AD41" s="25">
        <v>1136</v>
      </c>
      <c r="AE41" s="22"/>
      <c r="AF41" s="22"/>
      <c r="AG41" s="22"/>
      <c r="AH41" s="23"/>
      <c r="AI41" s="21">
        <v>1150</v>
      </c>
      <c r="AJ41" s="22"/>
      <c r="AK41" s="22"/>
      <c r="AL41" s="22"/>
      <c r="AM41" s="23"/>
      <c r="AN41" s="21">
        <v>1230</v>
      </c>
      <c r="AO41" s="22"/>
      <c r="AP41" s="22"/>
      <c r="AQ41" s="22"/>
      <c r="AR41" s="23"/>
      <c r="AS41" s="21"/>
      <c r="AT41" s="22"/>
      <c r="AU41" s="22"/>
      <c r="AV41" s="22"/>
      <c r="AW41" s="23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>
        <v>395</v>
      </c>
      <c r="F42" s="22"/>
      <c r="G42" s="22"/>
      <c r="H42" s="22"/>
      <c r="I42" s="23"/>
      <c r="J42" s="32">
        <f t="shared" si="4"/>
        <v>0.47399999999999998</v>
      </c>
      <c r="K42" s="22"/>
      <c r="L42" s="22"/>
      <c r="M42" s="22"/>
      <c r="N42" s="23"/>
      <c r="O42" s="31">
        <v>1115</v>
      </c>
      <c r="P42" s="22"/>
      <c r="Q42" s="22"/>
      <c r="R42" s="22"/>
      <c r="S42" s="23"/>
      <c r="T42" s="34">
        <v>395</v>
      </c>
      <c r="U42" s="22"/>
      <c r="V42" s="22"/>
      <c r="W42" s="22"/>
      <c r="X42" s="23"/>
      <c r="Y42" s="24">
        <f t="shared" si="1"/>
        <v>0.52653499999999998</v>
      </c>
      <c r="Z42" s="22"/>
      <c r="AA42" s="22"/>
      <c r="AB42" s="22"/>
      <c r="AC42" s="23"/>
      <c r="AD42" s="25">
        <v>1137</v>
      </c>
      <c r="AE42" s="22"/>
      <c r="AF42" s="22"/>
      <c r="AG42" s="22"/>
      <c r="AH42" s="23"/>
      <c r="AI42" s="21">
        <v>1151</v>
      </c>
      <c r="AJ42" s="22"/>
      <c r="AK42" s="22"/>
      <c r="AL42" s="22"/>
      <c r="AM42" s="23"/>
      <c r="AN42" s="21">
        <v>1231</v>
      </c>
      <c r="AO42" s="22"/>
      <c r="AP42" s="22"/>
      <c r="AQ42" s="22"/>
      <c r="AR42" s="23"/>
      <c r="AS42" s="21"/>
      <c r="AT42" s="22"/>
      <c r="AU42" s="22"/>
      <c r="AV42" s="22"/>
      <c r="AW42" s="23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>
        <v>398</v>
      </c>
      <c r="F43" s="22"/>
      <c r="G43" s="22"/>
      <c r="H43" s="22"/>
      <c r="I43" s="23"/>
      <c r="J43" s="32">
        <f t="shared" si="4"/>
        <v>0.47759999999999997</v>
      </c>
      <c r="K43" s="22"/>
      <c r="L43" s="22"/>
      <c r="M43" s="22"/>
      <c r="N43" s="23"/>
      <c r="O43" s="31">
        <v>1117</v>
      </c>
      <c r="P43" s="22"/>
      <c r="Q43" s="22"/>
      <c r="R43" s="22"/>
      <c r="S43" s="23"/>
      <c r="T43" s="34">
        <v>398</v>
      </c>
      <c r="U43" s="22"/>
      <c r="V43" s="22"/>
      <c r="W43" s="22"/>
      <c r="X43" s="23"/>
      <c r="Y43" s="24">
        <f t="shared" si="1"/>
        <v>0.53053399999999995</v>
      </c>
      <c r="Z43" s="22"/>
      <c r="AA43" s="22"/>
      <c r="AB43" s="22"/>
      <c r="AC43" s="23"/>
      <c r="AD43" s="25">
        <v>1139</v>
      </c>
      <c r="AE43" s="22"/>
      <c r="AF43" s="22"/>
      <c r="AG43" s="22"/>
      <c r="AH43" s="23"/>
      <c r="AI43" s="21">
        <v>1152</v>
      </c>
      <c r="AJ43" s="22"/>
      <c r="AK43" s="22"/>
      <c r="AL43" s="22"/>
      <c r="AM43" s="23"/>
      <c r="AN43" s="21">
        <v>1232</v>
      </c>
      <c r="AO43" s="22"/>
      <c r="AP43" s="22"/>
      <c r="AQ43" s="22"/>
      <c r="AR43" s="23"/>
      <c r="AS43" s="21"/>
      <c r="AT43" s="22"/>
      <c r="AU43" s="22"/>
      <c r="AV43" s="22"/>
      <c r="AW43" s="23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>
        <v>439</v>
      </c>
      <c r="F44" s="22"/>
      <c r="G44" s="22"/>
      <c r="H44" s="22"/>
      <c r="I44" s="23"/>
      <c r="J44" s="32">
        <f t="shared" si="4"/>
        <v>0.52679999999999993</v>
      </c>
      <c r="K44" s="22"/>
      <c r="L44" s="22"/>
      <c r="M44" s="22"/>
      <c r="N44" s="23"/>
      <c r="O44" s="31">
        <v>1119</v>
      </c>
      <c r="P44" s="22"/>
      <c r="Q44" s="22"/>
      <c r="R44" s="22"/>
      <c r="S44" s="23"/>
      <c r="T44" s="34">
        <v>439</v>
      </c>
      <c r="U44" s="22"/>
      <c r="V44" s="22"/>
      <c r="W44" s="22"/>
      <c r="X44" s="23"/>
      <c r="Y44" s="24">
        <f t="shared" si="1"/>
        <v>0.58518700000000001</v>
      </c>
      <c r="Z44" s="22"/>
      <c r="AA44" s="22"/>
      <c r="AB44" s="22"/>
      <c r="AC44" s="23"/>
      <c r="AD44" s="25">
        <v>1139</v>
      </c>
      <c r="AE44" s="22"/>
      <c r="AF44" s="22"/>
      <c r="AG44" s="22"/>
      <c r="AH44" s="23"/>
      <c r="AI44" s="21">
        <v>1153</v>
      </c>
      <c r="AJ44" s="22"/>
      <c r="AK44" s="22"/>
      <c r="AL44" s="22"/>
      <c r="AM44" s="23"/>
      <c r="AN44" s="21">
        <v>1233</v>
      </c>
      <c r="AO44" s="22"/>
      <c r="AP44" s="22"/>
      <c r="AQ44" s="22"/>
      <c r="AR44" s="23"/>
      <c r="AS44" s="21"/>
      <c r="AT44" s="22"/>
      <c r="AU44" s="22"/>
      <c r="AV44" s="22"/>
      <c r="AW44" s="23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>
        <v>439</v>
      </c>
      <c r="F45" s="22"/>
      <c r="G45" s="22"/>
      <c r="H45" s="22"/>
      <c r="I45" s="23"/>
      <c r="J45" s="32">
        <f t="shared" si="4"/>
        <v>0.52679999999999993</v>
      </c>
      <c r="K45" s="22"/>
      <c r="L45" s="22"/>
      <c r="M45" s="22"/>
      <c r="N45" s="23"/>
      <c r="O45" s="31">
        <v>1120</v>
      </c>
      <c r="P45" s="22"/>
      <c r="Q45" s="22"/>
      <c r="R45" s="22"/>
      <c r="S45" s="23"/>
      <c r="T45" s="34">
        <v>439</v>
      </c>
      <c r="U45" s="22"/>
      <c r="V45" s="22"/>
      <c r="W45" s="22"/>
      <c r="X45" s="23"/>
      <c r="Y45" s="24">
        <f t="shared" si="1"/>
        <v>0.58518700000000001</v>
      </c>
      <c r="Z45" s="22"/>
      <c r="AA45" s="22"/>
      <c r="AB45" s="22"/>
      <c r="AC45" s="23"/>
      <c r="AD45" s="25">
        <v>1142</v>
      </c>
      <c r="AE45" s="22"/>
      <c r="AF45" s="22"/>
      <c r="AG45" s="22"/>
      <c r="AH45" s="23"/>
      <c r="AI45" s="21">
        <v>1154</v>
      </c>
      <c r="AJ45" s="22"/>
      <c r="AK45" s="22"/>
      <c r="AL45" s="22"/>
      <c r="AM45" s="23"/>
      <c r="AN45" s="21">
        <v>1234</v>
      </c>
      <c r="AO45" s="22"/>
      <c r="AP45" s="22"/>
      <c r="AQ45" s="22"/>
      <c r="AR45" s="23"/>
      <c r="AS45" s="21"/>
      <c r="AT45" s="22"/>
      <c r="AU45" s="22"/>
      <c r="AV45" s="22"/>
      <c r="AW45" s="23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>
        <v>259</v>
      </c>
      <c r="F46" s="22"/>
      <c r="G46" s="22"/>
      <c r="H46" s="22"/>
      <c r="I46" s="23"/>
      <c r="J46" s="32">
        <f t="shared" si="4"/>
        <v>0.31079999999999997</v>
      </c>
      <c r="K46" s="22"/>
      <c r="L46" s="22"/>
      <c r="M46" s="22"/>
      <c r="N46" s="23"/>
      <c r="O46" s="31">
        <v>1253</v>
      </c>
      <c r="P46" s="22"/>
      <c r="Q46" s="22"/>
      <c r="R46" s="22"/>
      <c r="S46" s="23"/>
      <c r="T46" s="25">
        <v>259</v>
      </c>
      <c r="U46" s="22"/>
      <c r="V46" s="22"/>
      <c r="W46" s="22"/>
      <c r="X46" s="23"/>
      <c r="Y46" s="24">
        <f t="shared" si="1"/>
        <v>0.34524699999999997</v>
      </c>
      <c r="Z46" s="22"/>
      <c r="AA46" s="22"/>
      <c r="AB46" s="22"/>
      <c r="AC46" s="23"/>
      <c r="AD46" s="25">
        <v>1313</v>
      </c>
      <c r="AE46" s="22"/>
      <c r="AF46" s="22"/>
      <c r="AG46" s="22"/>
      <c r="AH46" s="23"/>
      <c r="AI46" s="21">
        <v>1337</v>
      </c>
      <c r="AJ46" s="22"/>
      <c r="AK46" s="22"/>
      <c r="AL46" s="22"/>
      <c r="AM46" s="23"/>
      <c r="AN46" s="21">
        <v>1411</v>
      </c>
      <c r="AO46" s="22"/>
      <c r="AP46" s="22"/>
      <c r="AQ46" s="22"/>
      <c r="AR46" s="23"/>
      <c r="AS46" s="21"/>
      <c r="AT46" s="22"/>
      <c r="AU46" s="22"/>
      <c r="AV46" s="22"/>
      <c r="AW46" s="23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414">
    <mergeCell ref="AD39:AH39"/>
    <mergeCell ref="AI39:AM39"/>
    <mergeCell ref="AN37:AR37"/>
    <mergeCell ref="AS37:AW37"/>
    <mergeCell ref="E37:I37"/>
    <mergeCell ref="J37:N37"/>
    <mergeCell ref="O37:S37"/>
    <mergeCell ref="T37:X37"/>
    <mergeCell ref="Y37:AC37"/>
    <mergeCell ref="E38:I38"/>
    <mergeCell ref="J38:N38"/>
    <mergeCell ref="O38:S38"/>
    <mergeCell ref="AI38:AM38"/>
    <mergeCell ref="AD37:AH37"/>
    <mergeCell ref="E39:I39"/>
    <mergeCell ref="J39:N39"/>
    <mergeCell ref="O39:S39"/>
    <mergeCell ref="E24:I24"/>
    <mergeCell ref="J24:N24"/>
    <mergeCell ref="O24:S24"/>
    <mergeCell ref="AI24:AM24"/>
    <mergeCell ref="AD24:AH24"/>
    <mergeCell ref="T24:X24"/>
    <mergeCell ref="Y24:AC24"/>
    <mergeCell ref="T25:X25"/>
    <mergeCell ref="Y25:AC25"/>
    <mergeCell ref="AD25:AH25"/>
    <mergeCell ref="AI25:AM25"/>
    <mergeCell ref="E25:I25"/>
    <mergeCell ref="J25:N25"/>
    <mergeCell ref="AN23:AR23"/>
    <mergeCell ref="AS23:AW23"/>
    <mergeCell ref="E23:I23"/>
    <mergeCell ref="J23:N23"/>
    <mergeCell ref="O23:S23"/>
    <mergeCell ref="T23:X23"/>
    <mergeCell ref="Y23:AC23"/>
    <mergeCell ref="AD23:AH23"/>
    <mergeCell ref="AI23:AM23"/>
    <mergeCell ref="AN25:AR25"/>
    <mergeCell ref="AS25:AW25"/>
    <mergeCell ref="AS24:AW24"/>
    <mergeCell ref="AN24:AR24"/>
    <mergeCell ref="O46:S46"/>
    <mergeCell ref="AD45:AH45"/>
    <mergeCell ref="T45:X45"/>
    <mergeCell ref="Y45:AC45"/>
    <mergeCell ref="AN32:AR32"/>
    <mergeCell ref="AS32:AW32"/>
    <mergeCell ref="AS31:AW31"/>
    <mergeCell ref="AN31:AR31"/>
    <mergeCell ref="AN30:AR30"/>
    <mergeCell ref="AS30:AW30"/>
    <mergeCell ref="O30:S30"/>
    <mergeCell ref="T30:X30"/>
    <mergeCell ref="Y30:AC30"/>
    <mergeCell ref="AD30:AH30"/>
    <mergeCell ref="AI30:AM30"/>
    <mergeCell ref="O32:S32"/>
    <mergeCell ref="O31:S31"/>
    <mergeCell ref="AI31:AM31"/>
    <mergeCell ref="AD31:AH31"/>
    <mergeCell ref="T31:X31"/>
    <mergeCell ref="AS26:AW26"/>
    <mergeCell ref="AS45:AW45"/>
    <mergeCell ref="AN45:AR45"/>
    <mergeCell ref="AS46:AW46"/>
    <mergeCell ref="T46:X46"/>
    <mergeCell ref="Y46:AC46"/>
    <mergeCell ref="AN44:AR44"/>
    <mergeCell ref="AS44:AW44"/>
    <mergeCell ref="E44:I44"/>
    <mergeCell ref="J44:N44"/>
    <mergeCell ref="O44:S44"/>
    <mergeCell ref="T44:X44"/>
    <mergeCell ref="Y44:AC44"/>
    <mergeCell ref="AD44:AH44"/>
    <mergeCell ref="AI44:AM44"/>
    <mergeCell ref="AD46:AH46"/>
    <mergeCell ref="E45:I45"/>
    <mergeCell ref="J45:N45"/>
    <mergeCell ref="O45:S45"/>
    <mergeCell ref="AI45:AM45"/>
    <mergeCell ref="AI46:AM46"/>
    <mergeCell ref="AN46:AR46"/>
    <mergeCell ref="E46:I46"/>
    <mergeCell ref="J46:N46"/>
    <mergeCell ref="AS40:AW40"/>
    <mergeCell ref="AN33:AR33"/>
    <mergeCell ref="AS33:AW33"/>
    <mergeCell ref="AN36:AR36"/>
    <mergeCell ref="AS36:AW36"/>
    <mergeCell ref="AN35:AR35"/>
    <mergeCell ref="AS35:AW35"/>
    <mergeCell ref="AS34:AW34"/>
    <mergeCell ref="AN34:AR34"/>
    <mergeCell ref="AN39:AR39"/>
    <mergeCell ref="AS39:AW39"/>
    <mergeCell ref="AS38:AW38"/>
    <mergeCell ref="AN38:AR38"/>
    <mergeCell ref="O25:S25"/>
    <mergeCell ref="E31:I31"/>
    <mergeCell ref="J31:N31"/>
    <mergeCell ref="AI32:AM32"/>
    <mergeCell ref="E26:I26"/>
    <mergeCell ref="J26:N26"/>
    <mergeCell ref="O26:S26"/>
    <mergeCell ref="T26:X26"/>
    <mergeCell ref="Y26:AC26"/>
    <mergeCell ref="AD26:AH26"/>
    <mergeCell ref="AI26:AM26"/>
    <mergeCell ref="AD27:AH27"/>
    <mergeCell ref="T27:X27"/>
    <mergeCell ref="Y27:AC27"/>
    <mergeCell ref="T28:X28"/>
    <mergeCell ref="Y28:AC28"/>
    <mergeCell ref="Y31:AC31"/>
    <mergeCell ref="T32:X32"/>
    <mergeCell ref="Y32:AC32"/>
    <mergeCell ref="AD32:AH32"/>
    <mergeCell ref="AD28:AH28"/>
    <mergeCell ref="AI28:AM28"/>
    <mergeCell ref="E40:I40"/>
    <mergeCell ref="J40:N40"/>
    <mergeCell ref="O40:S40"/>
    <mergeCell ref="T40:X40"/>
    <mergeCell ref="Y40:AC40"/>
    <mergeCell ref="AD40:AH40"/>
    <mergeCell ref="AI40:AM40"/>
    <mergeCell ref="AN40:AR40"/>
    <mergeCell ref="AN26:AR26"/>
    <mergeCell ref="E30:I30"/>
    <mergeCell ref="J30:N30"/>
    <mergeCell ref="E32:I32"/>
    <mergeCell ref="J32:N32"/>
    <mergeCell ref="AI36:AM36"/>
    <mergeCell ref="AI35:AM35"/>
    <mergeCell ref="AI34:AM34"/>
    <mergeCell ref="AI33:AM33"/>
    <mergeCell ref="AI37:AM37"/>
    <mergeCell ref="AD38:AH38"/>
    <mergeCell ref="T38:X38"/>
    <mergeCell ref="Y38:AC38"/>
    <mergeCell ref="AD33:AH33"/>
    <mergeCell ref="T39:X39"/>
    <mergeCell ref="Y39:AC39"/>
    <mergeCell ref="AD1:AH1"/>
    <mergeCell ref="AI1:AM1"/>
    <mergeCell ref="AS4:AW4"/>
    <mergeCell ref="E3:I3"/>
    <mergeCell ref="J3:N3"/>
    <mergeCell ref="O3:S3"/>
    <mergeCell ref="T3:X3"/>
    <mergeCell ref="Y3:AC3"/>
    <mergeCell ref="AS3:AW3"/>
    <mergeCell ref="AI2:AM2"/>
    <mergeCell ref="AN2:AR2"/>
    <mergeCell ref="AS2:AW2"/>
    <mergeCell ref="AI3:AM3"/>
    <mergeCell ref="AN3:AR3"/>
    <mergeCell ref="E2:I2"/>
    <mergeCell ref="J2:N2"/>
    <mergeCell ref="O2:S2"/>
    <mergeCell ref="T2:X2"/>
    <mergeCell ref="Y4:AC4"/>
    <mergeCell ref="E6:I6"/>
    <mergeCell ref="J6:N6"/>
    <mergeCell ref="O6:S6"/>
    <mergeCell ref="T6:X6"/>
    <mergeCell ref="Y6:AC6"/>
    <mergeCell ref="AD6:AH6"/>
    <mergeCell ref="AS6:AW6"/>
    <mergeCell ref="AN1:AR1"/>
    <mergeCell ref="AS1:AW1"/>
    <mergeCell ref="E1:I1"/>
    <mergeCell ref="J1:N1"/>
    <mergeCell ref="O1:S1"/>
    <mergeCell ref="T1:X1"/>
    <mergeCell ref="Y1:AC1"/>
    <mergeCell ref="Y2:AC2"/>
    <mergeCell ref="AD2:AH2"/>
    <mergeCell ref="AD3:AH3"/>
    <mergeCell ref="AD4:AH4"/>
    <mergeCell ref="AN4:AR4"/>
    <mergeCell ref="AI4:AM4"/>
    <mergeCell ref="E4:I4"/>
    <mergeCell ref="J4:N4"/>
    <mergeCell ref="O4:S4"/>
    <mergeCell ref="T4:X4"/>
    <mergeCell ref="E8:I8"/>
    <mergeCell ref="J8:N8"/>
    <mergeCell ref="O8:S8"/>
    <mergeCell ref="AS7:AW7"/>
    <mergeCell ref="T8:X8"/>
    <mergeCell ref="Y8:AC8"/>
    <mergeCell ref="AD8:AH8"/>
    <mergeCell ref="AI7:AM7"/>
    <mergeCell ref="AN7:AR7"/>
    <mergeCell ref="AI8:AM8"/>
    <mergeCell ref="AN8:AR8"/>
    <mergeCell ref="AS8:AW8"/>
    <mergeCell ref="E7:I7"/>
    <mergeCell ref="J7:N7"/>
    <mergeCell ref="O7:S7"/>
    <mergeCell ref="E10:I10"/>
    <mergeCell ref="J10:N10"/>
    <mergeCell ref="O10:S10"/>
    <mergeCell ref="AI9:AM9"/>
    <mergeCell ref="AN9:AR9"/>
    <mergeCell ref="Y9:AC9"/>
    <mergeCell ref="AS9:AW9"/>
    <mergeCell ref="E9:I9"/>
    <mergeCell ref="J9:N9"/>
    <mergeCell ref="O9:S9"/>
    <mergeCell ref="T9:X9"/>
    <mergeCell ref="AD9:AH9"/>
    <mergeCell ref="AS16:AW16"/>
    <mergeCell ref="E16:I16"/>
    <mergeCell ref="J16:N16"/>
    <mergeCell ref="O16:S16"/>
    <mergeCell ref="T16:X16"/>
    <mergeCell ref="Y16:AC16"/>
    <mergeCell ref="AN17:AR17"/>
    <mergeCell ref="AS17:AW17"/>
    <mergeCell ref="AS18:AW18"/>
    <mergeCell ref="AN18:AR18"/>
    <mergeCell ref="E17:I17"/>
    <mergeCell ref="J17:N17"/>
    <mergeCell ref="O17:S17"/>
    <mergeCell ref="AD17:AH17"/>
    <mergeCell ref="AI17:AM17"/>
    <mergeCell ref="T17:X17"/>
    <mergeCell ref="Y17:AC17"/>
    <mergeCell ref="E18:I18"/>
    <mergeCell ref="J18:N18"/>
    <mergeCell ref="O18:S18"/>
    <mergeCell ref="T18:X18"/>
    <mergeCell ref="Y18:AC18"/>
    <mergeCell ref="AD18:AH18"/>
    <mergeCell ref="AI18:AM18"/>
    <mergeCell ref="E34:I34"/>
    <mergeCell ref="J34:N34"/>
    <mergeCell ref="O34:S34"/>
    <mergeCell ref="AD34:AH34"/>
    <mergeCell ref="T34:X34"/>
    <mergeCell ref="Y34:AC34"/>
    <mergeCell ref="T35:X35"/>
    <mergeCell ref="Y35:AC35"/>
    <mergeCell ref="E35:I35"/>
    <mergeCell ref="J35:N35"/>
    <mergeCell ref="O35:S35"/>
    <mergeCell ref="AD35:AH35"/>
    <mergeCell ref="AN28:AR28"/>
    <mergeCell ref="AS28:AW28"/>
    <mergeCell ref="AS27:AW27"/>
    <mergeCell ref="AN27:AR27"/>
    <mergeCell ref="E28:I28"/>
    <mergeCell ref="J28:N28"/>
    <mergeCell ref="O28:S28"/>
    <mergeCell ref="E27:I27"/>
    <mergeCell ref="J27:N27"/>
    <mergeCell ref="O27:S27"/>
    <mergeCell ref="AI27:AM27"/>
    <mergeCell ref="AN42:AR42"/>
    <mergeCell ref="AS42:AW42"/>
    <mergeCell ref="AS41:AW41"/>
    <mergeCell ref="AN41:AR41"/>
    <mergeCell ref="AD29:AH29"/>
    <mergeCell ref="AI29:AM29"/>
    <mergeCell ref="AN29:AR29"/>
    <mergeCell ref="AS29:AW29"/>
    <mergeCell ref="E29:I29"/>
    <mergeCell ref="J29:N29"/>
    <mergeCell ref="O29:S29"/>
    <mergeCell ref="T29:X29"/>
    <mergeCell ref="Y29:AC29"/>
    <mergeCell ref="E36:I36"/>
    <mergeCell ref="J36:N36"/>
    <mergeCell ref="O36:S36"/>
    <mergeCell ref="T36:X36"/>
    <mergeCell ref="Y36:AC36"/>
    <mergeCell ref="AD36:AH36"/>
    <mergeCell ref="E33:I33"/>
    <mergeCell ref="J33:N33"/>
    <mergeCell ref="O33:S33"/>
    <mergeCell ref="T33:X33"/>
    <mergeCell ref="Y33:AC33"/>
    <mergeCell ref="E42:I42"/>
    <mergeCell ref="J42:N42"/>
    <mergeCell ref="O42:S42"/>
    <mergeCell ref="E41:I41"/>
    <mergeCell ref="J41:N41"/>
    <mergeCell ref="O41:S41"/>
    <mergeCell ref="AI41:AM41"/>
    <mergeCell ref="AD43:AH43"/>
    <mergeCell ref="AI43:AM43"/>
    <mergeCell ref="AD41:AH41"/>
    <mergeCell ref="T41:X41"/>
    <mergeCell ref="Y41:AC41"/>
    <mergeCell ref="T42:X42"/>
    <mergeCell ref="Y42:AC42"/>
    <mergeCell ref="AD42:AH42"/>
    <mergeCell ref="AI42:AM42"/>
    <mergeCell ref="AN43:AR43"/>
    <mergeCell ref="AS43:AW43"/>
    <mergeCell ref="E43:I43"/>
    <mergeCell ref="J43:N43"/>
    <mergeCell ref="O43:S43"/>
    <mergeCell ref="T43:X43"/>
    <mergeCell ref="Y43:AC43"/>
    <mergeCell ref="AD20:AH20"/>
    <mergeCell ref="T20:X20"/>
    <mergeCell ref="Y20:AC20"/>
    <mergeCell ref="T21:X21"/>
    <mergeCell ref="Y21:AC21"/>
    <mergeCell ref="AD21:AH21"/>
    <mergeCell ref="AI21:AM21"/>
    <mergeCell ref="AN21:AR21"/>
    <mergeCell ref="AS21:AW21"/>
    <mergeCell ref="AS20:AW20"/>
    <mergeCell ref="AN20:AR20"/>
    <mergeCell ref="E21:I21"/>
    <mergeCell ref="J21:N21"/>
    <mergeCell ref="O21:S21"/>
    <mergeCell ref="E20:I20"/>
    <mergeCell ref="J20:N20"/>
    <mergeCell ref="O20:S20"/>
    <mergeCell ref="AS22:AW22"/>
    <mergeCell ref="E22:I22"/>
    <mergeCell ref="J22:N22"/>
    <mergeCell ref="O22:S22"/>
    <mergeCell ref="T22:X22"/>
    <mergeCell ref="Y22:AC22"/>
    <mergeCell ref="AN19:AR19"/>
    <mergeCell ref="AS19:AW19"/>
    <mergeCell ref="E19:I19"/>
    <mergeCell ref="J19:N19"/>
    <mergeCell ref="O19:S19"/>
    <mergeCell ref="T19:X19"/>
    <mergeCell ref="Y19:AC19"/>
    <mergeCell ref="AD19:AH19"/>
    <mergeCell ref="AI19:AM19"/>
    <mergeCell ref="E5:I5"/>
    <mergeCell ref="J5:N5"/>
    <mergeCell ref="O5:S5"/>
    <mergeCell ref="T5:X5"/>
    <mergeCell ref="Y5:AC5"/>
    <mergeCell ref="AD5:AH5"/>
    <mergeCell ref="AN12:AR12"/>
    <mergeCell ref="AI20:AM20"/>
    <mergeCell ref="AD22:AH22"/>
    <mergeCell ref="AI22:AM22"/>
    <mergeCell ref="AN22:AR22"/>
    <mergeCell ref="AD16:AH16"/>
    <mergeCell ref="AI16:AM16"/>
    <mergeCell ref="AN16:AR16"/>
    <mergeCell ref="AN10:AR10"/>
    <mergeCell ref="AI10:AM10"/>
    <mergeCell ref="O11:S11"/>
    <mergeCell ref="T10:X10"/>
    <mergeCell ref="T11:X11"/>
    <mergeCell ref="AI11:AM11"/>
    <mergeCell ref="AN11:AR11"/>
    <mergeCell ref="E11:I11"/>
    <mergeCell ref="J11:N11"/>
    <mergeCell ref="Y10:AC10"/>
    <mergeCell ref="AI15:AM15"/>
    <mergeCell ref="AN15:AR15"/>
    <mergeCell ref="AS15:AW15"/>
    <mergeCell ref="AS12:AW12"/>
    <mergeCell ref="E12:I12"/>
    <mergeCell ref="J12:N12"/>
    <mergeCell ref="O12:S12"/>
    <mergeCell ref="T12:X12"/>
    <mergeCell ref="Y12:AC12"/>
    <mergeCell ref="AD12:AH12"/>
    <mergeCell ref="AI12:AM12"/>
    <mergeCell ref="E13:I13"/>
    <mergeCell ref="J13:N13"/>
    <mergeCell ref="O13:S13"/>
    <mergeCell ref="AI13:AM13"/>
    <mergeCell ref="AD13:AH13"/>
    <mergeCell ref="T13:X13"/>
    <mergeCell ref="Y13:AC13"/>
    <mergeCell ref="E14:I14"/>
    <mergeCell ref="J14:N14"/>
    <mergeCell ref="O14:S14"/>
    <mergeCell ref="E15:I15"/>
    <mergeCell ref="J15:N15"/>
    <mergeCell ref="O15:S15"/>
    <mergeCell ref="T15:X15"/>
    <mergeCell ref="Y15:AC15"/>
    <mergeCell ref="AD15:AH15"/>
    <mergeCell ref="AS5:AW5"/>
    <mergeCell ref="T14:X14"/>
    <mergeCell ref="Y14:AC14"/>
    <mergeCell ref="AD14:AH14"/>
    <mergeCell ref="AI14:AM14"/>
    <mergeCell ref="AN14:AR14"/>
    <mergeCell ref="AS14:AW14"/>
    <mergeCell ref="AS13:AW13"/>
    <mergeCell ref="AN13:AR13"/>
    <mergeCell ref="AI5:AM5"/>
    <mergeCell ref="AN5:AR5"/>
    <mergeCell ref="AS10:AW10"/>
    <mergeCell ref="AS11:AW11"/>
    <mergeCell ref="Y11:AC11"/>
    <mergeCell ref="AD10:AH10"/>
    <mergeCell ref="AD11:AH11"/>
    <mergeCell ref="AD7:AH7"/>
    <mergeCell ref="T7:X7"/>
    <mergeCell ref="Y7:AC7"/>
    <mergeCell ref="AI6:AM6"/>
    <mergeCell ref="AN6:AR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D85C6"/>
    <outlinePr summaryBelow="0" summaryRight="0"/>
    <pageSetUpPr fitToPage="1"/>
  </sheetPr>
  <dimension ref="A1:GB71"/>
  <sheetViews>
    <sheetView showGridLines="0" topLeftCell="E34" workbookViewId="0">
      <selection activeCell="AN40" sqref="AN40:AR40"/>
    </sheetView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75" customWidth="1"/>
    <col min="4" max="4" width="15.75" customWidth="1"/>
    <col min="5" max="18" width="3" customWidth="1"/>
    <col min="19" max="19" width="25.75" customWidth="1"/>
    <col min="20" max="23" width="3" customWidth="1"/>
    <col min="24" max="24" width="2.75" customWidth="1"/>
    <col min="25" max="78" width="3" customWidth="1"/>
    <col min="79" max="79" width="12.25" customWidth="1"/>
    <col min="8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432</v>
      </c>
      <c r="F2" s="22"/>
      <c r="G2" s="22"/>
      <c r="H2" s="22"/>
      <c r="I2" s="23"/>
      <c r="J2" s="32">
        <f t="shared" ref="J2:J17" si="0">E2*0.00125</f>
        <v>0.54</v>
      </c>
      <c r="K2" s="22"/>
      <c r="L2" s="22"/>
      <c r="M2" s="22"/>
      <c r="N2" s="23"/>
      <c r="O2" s="32">
        <v>1532</v>
      </c>
      <c r="P2" s="22"/>
      <c r="Q2" s="22"/>
      <c r="R2" s="22"/>
      <c r="S2" s="23"/>
      <c r="T2" s="24">
        <v>432</v>
      </c>
      <c r="U2" s="22"/>
      <c r="V2" s="22"/>
      <c r="W2" s="22"/>
      <c r="X2" s="23"/>
      <c r="Y2" s="24">
        <f t="shared" ref="Y2:Y46" si="1">T2*0.001333</f>
        <v>0.57585600000000003</v>
      </c>
      <c r="Z2" s="22"/>
      <c r="AA2" s="22"/>
      <c r="AB2" s="22"/>
      <c r="AC2" s="23"/>
      <c r="AD2" s="24">
        <v>1549</v>
      </c>
      <c r="AE2" s="22"/>
      <c r="AF2" s="22"/>
      <c r="AG2" s="22"/>
      <c r="AH2" s="23"/>
      <c r="AI2" s="26">
        <v>1611</v>
      </c>
      <c r="AJ2" s="22"/>
      <c r="AK2" s="22"/>
      <c r="AL2" s="22"/>
      <c r="AM2" s="23"/>
      <c r="AN2" s="26">
        <v>1651</v>
      </c>
      <c r="AO2" s="22"/>
      <c r="AP2" s="22"/>
      <c r="AQ2" s="22"/>
      <c r="AR2" s="23"/>
      <c r="AS2" s="26"/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437</v>
      </c>
      <c r="F3" s="22"/>
      <c r="G3" s="22"/>
      <c r="H3" s="22"/>
      <c r="I3" s="23"/>
      <c r="J3" s="32">
        <f t="shared" si="0"/>
        <v>0.54625000000000001</v>
      </c>
      <c r="K3" s="22"/>
      <c r="L3" s="22"/>
      <c r="M3" s="22"/>
      <c r="N3" s="23"/>
      <c r="O3" s="32">
        <v>1534</v>
      </c>
      <c r="P3" s="22"/>
      <c r="Q3" s="22"/>
      <c r="R3" s="22"/>
      <c r="S3" s="23"/>
      <c r="T3" s="36">
        <v>437</v>
      </c>
      <c r="U3" s="22"/>
      <c r="V3" s="22"/>
      <c r="W3" s="22"/>
      <c r="X3" s="23"/>
      <c r="Y3" s="24">
        <f t="shared" si="1"/>
        <v>0.58252099999999996</v>
      </c>
      <c r="Z3" s="22"/>
      <c r="AA3" s="22"/>
      <c r="AB3" s="22"/>
      <c r="AC3" s="23"/>
      <c r="AD3" s="24">
        <v>1550</v>
      </c>
      <c r="AE3" s="22"/>
      <c r="AF3" s="22"/>
      <c r="AG3" s="22"/>
      <c r="AH3" s="23"/>
      <c r="AI3" s="26">
        <v>1612</v>
      </c>
      <c r="AJ3" s="22"/>
      <c r="AK3" s="22"/>
      <c r="AL3" s="22"/>
      <c r="AM3" s="23"/>
      <c r="AN3" s="26">
        <v>1652</v>
      </c>
      <c r="AO3" s="22"/>
      <c r="AP3" s="22"/>
      <c r="AQ3" s="22"/>
      <c r="AR3" s="23"/>
      <c r="AS3" s="26"/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430</v>
      </c>
      <c r="F4" s="22"/>
      <c r="G4" s="22"/>
      <c r="H4" s="22"/>
      <c r="I4" s="23"/>
      <c r="J4" s="32">
        <f t="shared" si="0"/>
        <v>0.53749999999999998</v>
      </c>
      <c r="K4" s="22"/>
      <c r="L4" s="22"/>
      <c r="M4" s="22"/>
      <c r="N4" s="23"/>
      <c r="O4" s="32">
        <v>1535</v>
      </c>
      <c r="P4" s="22"/>
      <c r="Q4" s="22"/>
      <c r="R4" s="22"/>
      <c r="S4" s="23"/>
      <c r="T4" s="36">
        <v>430</v>
      </c>
      <c r="U4" s="22"/>
      <c r="V4" s="22"/>
      <c r="W4" s="22"/>
      <c r="X4" s="23"/>
      <c r="Y4" s="24">
        <f t="shared" si="1"/>
        <v>0.57318999999999998</v>
      </c>
      <c r="Z4" s="22"/>
      <c r="AA4" s="22"/>
      <c r="AB4" s="22"/>
      <c r="AC4" s="23"/>
      <c r="AD4" s="24">
        <v>1552</v>
      </c>
      <c r="AE4" s="22"/>
      <c r="AF4" s="22"/>
      <c r="AG4" s="22"/>
      <c r="AH4" s="23"/>
      <c r="AI4" s="26">
        <v>1613</v>
      </c>
      <c r="AJ4" s="22"/>
      <c r="AK4" s="22"/>
      <c r="AL4" s="22"/>
      <c r="AM4" s="23"/>
      <c r="AN4" s="26">
        <v>1653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433</v>
      </c>
      <c r="F5" s="22"/>
      <c r="G5" s="22"/>
      <c r="H5" s="22"/>
      <c r="I5" s="23"/>
      <c r="J5" s="32">
        <f t="shared" si="0"/>
        <v>0.54125000000000001</v>
      </c>
      <c r="K5" s="22"/>
      <c r="L5" s="22"/>
      <c r="M5" s="22"/>
      <c r="N5" s="23"/>
      <c r="O5" s="32">
        <v>1629</v>
      </c>
      <c r="P5" s="22"/>
      <c r="Q5" s="22"/>
      <c r="R5" s="22"/>
      <c r="S5" s="23"/>
      <c r="T5" s="36">
        <v>433</v>
      </c>
      <c r="U5" s="22"/>
      <c r="V5" s="22"/>
      <c r="W5" s="22"/>
      <c r="X5" s="23"/>
      <c r="Y5" s="24">
        <f t="shared" si="1"/>
        <v>0.57718899999999995</v>
      </c>
      <c r="Z5" s="22"/>
      <c r="AA5" s="22"/>
      <c r="AB5" s="22"/>
      <c r="AC5" s="23"/>
      <c r="AD5" s="24">
        <v>1645</v>
      </c>
      <c r="AE5" s="22"/>
      <c r="AF5" s="22"/>
      <c r="AG5" s="22"/>
      <c r="AH5" s="23"/>
      <c r="AI5" s="26">
        <v>1708</v>
      </c>
      <c r="AJ5" s="22"/>
      <c r="AK5" s="22"/>
      <c r="AL5" s="22"/>
      <c r="AM5" s="23"/>
      <c r="AN5" s="26">
        <v>1748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462</v>
      </c>
      <c r="F6" s="22"/>
      <c r="G6" s="22"/>
      <c r="H6" s="22"/>
      <c r="I6" s="23"/>
      <c r="J6" s="32">
        <f t="shared" si="0"/>
        <v>0.57750000000000001</v>
      </c>
      <c r="K6" s="22"/>
      <c r="L6" s="22"/>
      <c r="M6" s="22"/>
      <c r="N6" s="23"/>
      <c r="O6" s="32">
        <v>1631</v>
      </c>
      <c r="P6" s="22"/>
      <c r="Q6" s="22"/>
      <c r="R6" s="22"/>
      <c r="S6" s="23"/>
      <c r="T6" s="24">
        <v>462</v>
      </c>
      <c r="U6" s="22"/>
      <c r="V6" s="22"/>
      <c r="W6" s="22"/>
      <c r="X6" s="23"/>
      <c r="Y6" s="24">
        <f t="shared" si="1"/>
        <v>0.615846</v>
      </c>
      <c r="Z6" s="22"/>
      <c r="AA6" s="22"/>
      <c r="AB6" s="22"/>
      <c r="AC6" s="23"/>
      <c r="AD6" s="24">
        <v>1647</v>
      </c>
      <c r="AE6" s="22"/>
      <c r="AF6" s="22"/>
      <c r="AG6" s="22"/>
      <c r="AH6" s="23"/>
      <c r="AI6" s="26">
        <v>1709</v>
      </c>
      <c r="AJ6" s="22"/>
      <c r="AK6" s="22"/>
      <c r="AL6" s="22"/>
      <c r="AM6" s="23"/>
      <c r="AN6" s="26">
        <v>1749</v>
      </c>
      <c r="AO6" s="22"/>
      <c r="AP6" s="22"/>
      <c r="AQ6" s="22"/>
      <c r="AR6" s="23"/>
      <c r="AS6" s="26" t="s">
        <v>128</v>
      </c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410</v>
      </c>
      <c r="F7" s="22"/>
      <c r="G7" s="22"/>
      <c r="H7" s="22"/>
      <c r="I7" s="23"/>
      <c r="J7" s="32">
        <f t="shared" si="0"/>
        <v>0.51249999999999996</v>
      </c>
      <c r="K7" s="22"/>
      <c r="L7" s="22"/>
      <c r="M7" s="22"/>
      <c r="N7" s="23"/>
      <c r="O7" s="32">
        <v>1632</v>
      </c>
      <c r="P7" s="22"/>
      <c r="Q7" s="22"/>
      <c r="R7" s="22"/>
      <c r="S7" s="23"/>
      <c r="T7" s="24">
        <v>410</v>
      </c>
      <c r="U7" s="22"/>
      <c r="V7" s="22"/>
      <c r="W7" s="22"/>
      <c r="X7" s="23"/>
      <c r="Y7" s="24">
        <f t="shared" si="1"/>
        <v>0.54652999999999996</v>
      </c>
      <c r="Z7" s="22"/>
      <c r="AA7" s="22"/>
      <c r="AB7" s="22"/>
      <c r="AC7" s="23"/>
      <c r="AD7" s="24">
        <v>1649</v>
      </c>
      <c r="AE7" s="22"/>
      <c r="AF7" s="22"/>
      <c r="AG7" s="22"/>
      <c r="AH7" s="23"/>
      <c r="AI7" s="26">
        <v>1710</v>
      </c>
      <c r="AJ7" s="22"/>
      <c r="AK7" s="22"/>
      <c r="AL7" s="22"/>
      <c r="AM7" s="23"/>
      <c r="AN7" s="26">
        <v>1750</v>
      </c>
      <c r="AO7" s="22"/>
      <c r="AP7" s="22"/>
      <c r="AQ7" s="22"/>
      <c r="AR7" s="23"/>
      <c r="AS7" s="26"/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434</v>
      </c>
      <c r="F8" s="22"/>
      <c r="G8" s="22"/>
      <c r="H8" s="22"/>
      <c r="I8" s="23"/>
      <c r="J8" s="32">
        <f t="shared" si="0"/>
        <v>0.54249999999999998</v>
      </c>
      <c r="K8" s="22"/>
      <c r="L8" s="22"/>
      <c r="M8" s="22"/>
      <c r="N8" s="23"/>
      <c r="O8" s="32">
        <v>1634</v>
      </c>
      <c r="P8" s="22"/>
      <c r="Q8" s="22"/>
      <c r="R8" s="22"/>
      <c r="S8" s="23"/>
      <c r="T8" s="24">
        <v>434</v>
      </c>
      <c r="U8" s="22"/>
      <c r="V8" s="22"/>
      <c r="W8" s="22"/>
      <c r="X8" s="23"/>
      <c r="Y8" s="24">
        <f t="shared" si="1"/>
        <v>0.57852199999999998</v>
      </c>
      <c r="Z8" s="22"/>
      <c r="AA8" s="22"/>
      <c r="AB8" s="22"/>
      <c r="AC8" s="23"/>
      <c r="AD8" s="24">
        <v>1651</v>
      </c>
      <c r="AE8" s="22"/>
      <c r="AF8" s="22"/>
      <c r="AG8" s="22"/>
      <c r="AH8" s="23"/>
      <c r="AI8" s="26">
        <v>1711</v>
      </c>
      <c r="AJ8" s="22"/>
      <c r="AK8" s="22"/>
      <c r="AL8" s="22"/>
      <c r="AM8" s="23"/>
      <c r="AN8" s="26">
        <v>1751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282</v>
      </c>
      <c r="F9" s="22"/>
      <c r="G9" s="22"/>
      <c r="H9" s="22"/>
      <c r="I9" s="23"/>
      <c r="J9" s="32">
        <f t="shared" si="0"/>
        <v>0.35249999999999998</v>
      </c>
      <c r="K9" s="22"/>
      <c r="L9" s="22"/>
      <c r="M9" s="22"/>
      <c r="N9" s="23"/>
      <c r="O9" s="32">
        <v>1636</v>
      </c>
      <c r="P9" s="22"/>
      <c r="Q9" s="22"/>
      <c r="R9" s="22"/>
      <c r="S9" s="23"/>
      <c r="T9" s="24">
        <v>282</v>
      </c>
      <c r="U9" s="22"/>
      <c r="V9" s="22"/>
      <c r="W9" s="22"/>
      <c r="X9" s="23"/>
      <c r="Y9" s="24">
        <f t="shared" si="1"/>
        <v>0.37590600000000002</v>
      </c>
      <c r="Z9" s="22"/>
      <c r="AA9" s="22"/>
      <c r="AB9" s="22"/>
      <c r="AC9" s="23"/>
      <c r="AD9" s="24">
        <v>1653</v>
      </c>
      <c r="AE9" s="22"/>
      <c r="AF9" s="22"/>
      <c r="AG9" s="22"/>
      <c r="AH9" s="23"/>
      <c r="AI9" s="26">
        <v>1712</v>
      </c>
      <c r="AJ9" s="22"/>
      <c r="AK9" s="22"/>
      <c r="AL9" s="22"/>
      <c r="AM9" s="23"/>
      <c r="AN9" s="26">
        <v>1752</v>
      </c>
      <c r="AO9" s="22"/>
      <c r="AP9" s="22"/>
      <c r="AQ9" s="22"/>
      <c r="AR9" s="23"/>
      <c r="AS9" s="26"/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438</v>
      </c>
      <c r="F10" s="22"/>
      <c r="G10" s="22"/>
      <c r="H10" s="22"/>
      <c r="I10" s="23"/>
      <c r="J10" s="32">
        <f t="shared" si="0"/>
        <v>0.54749999999999999</v>
      </c>
      <c r="K10" s="22"/>
      <c r="L10" s="22"/>
      <c r="M10" s="22"/>
      <c r="N10" s="23"/>
      <c r="O10" s="32">
        <v>1340</v>
      </c>
      <c r="P10" s="22"/>
      <c r="Q10" s="22"/>
      <c r="R10" s="22"/>
      <c r="S10" s="23"/>
      <c r="T10" s="24">
        <v>438</v>
      </c>
      <c r="U10" s="22"/>
      <c r="V10" s="22"/>
      <c r="W10" s="22"/>
      <c r="X10" s="23"/>
      <c r="Y10" s="24">
        <f t="shared" si="1"/>
        <v>0.58385399999999998</v>
      </c>
      <c r="Z10" s="22"/>
      <c r="AA10" s="22"/>
      <c r="AB10" s="22"/>
      <c r="AC10" s="23"/>
      <c r="AD10" s="24">
        <v>1358</v>
      </c>
      <c r="AE10" s="22"/>
      <c r="AF10" s="22"/>
      <c r="AG10" s="22"/>
      <c r="AH10" s="23"/>
      <c r="AI10" s="26">
        <v>1411</v>
      </c>
      <c r="AJ10" s="22"/>
      <c r="AK10" s="22"/>
      <c r="AL10" s="22"/>
      <c r="AM10" s="23"/>
      <c r="AN10" s="26">
        <v>1451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441</v>
      </c>
      <c r="F11" s="22"/>
      <c r="G11" s="22"/>
      <c r="H11" s="22"/>
      <c r="I11" s="23"/>
      <c r="J11" s="32">
        <f t="shared" si="0"/>
        <v>0.55125000000000002</v>
      </c>
      <c r="K11" s="22"/>
      <c r="L11" s="22"/>
      <c r="M11" s="22"/>
      <c r="N11" s="23"/>
      <c r="O11" s="32">
        <v>1426</v>
      </c>
      <c r="P11" s="22"/>
      <c r="Q11" s="22"/>
      <c r="R11" s="22"/>
      <c r="S11" s="23"/>
      <c r="T11" s="36">
        <v>441</v>
      </c>
      <c r="U11" s="22"/>
      <c r="V11" s="22"/>
      <c r="W11" s="22"/>
      <c r="X11" s="23"/>
      <c r="Y11" s="24">
        <f t="shared" si="1"/>
        <v>0.58785299999999996</v>
      </c>
      <c r="Z11" s="22"/>
      <c r="AA11" s="22"/>
      <c r="AB11" s="22"/>
      <c r="AC11" s="23"/>
      <c r="AD11" s="24">
        <v>1442</v>
      </c>
      <c r="AE11" s="22"/>
      <c r="AF11" s="22"/>
      <c r="AG11" s="22"/>
      <c r="AH11" s="23"/>
      <c r="AI11" s="26">
        <v>1504</v>
      </c>
      <c r="AJ11" s="22"/>
      <c r="AK11" s="22"/>
      <c r="AL11" s="22"/>
      <c r="AM11" s="23"/>
      <c r="AN11" s="26">
        <v>1544</v>
      </c>
      <c r="AO11" s="22"/>
      <c r="AP11" s="22"/>
      <c r="AQ11" s="22"/>
      <c r="AR11" s="23"/>
      <c r="AS11" s="26"/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448</v>
      </c>
      <c r="F12" s="22"/>
      <c r="G12" s="22"/>
      <c r="H12" s="22"/>
      <c r="I12" s="23"/>
      <c r="J12" s="32">
        <f t="shared" si="0"/>
        <v>0.56000000000000005</v>
      </c>
      <c r="K12" s="22"/>
      <c r="L12" s="22"/>
      <c r="M12" s="22"/>
      <c r="N12" s="23"/>
      <c r="O12" s="32">
        <v>1427</v>
      </c>
      <c r="P12" s="22"/>
      <c r="Q12" s="22"/>
      <c r="R12" s="22"/>
      <c r="S12" s="23"/>
      <c r="T12" s="36">
        <v>448</v>
      </c>
      <c r="U12" s="22"/>
      <c r="V12" s="22"/>
      <c r="W12" s="22"/>
      <c r="X12" s="23"/>
      <c r="Y12" s="24">
        <f t="shared" si="1"/>
        <v>0.59718399999999994</v>
      </c>
      <c r="Z12" s="22"/>
      <c r="AA12" s="22"/>
      <c r="AB12" s="22"/>
      <c r="AC12" s="23"/>
      <c r="AD12" s="24">
        <v>1445</v>
      </c>
      <c r="AE12" s="22"/>
      <c r="AF12" s="22"/>
      <c r="AG12" s="22"/>
      <c r="AH12" s="23"/>
      <c r="AI12" s="26">
        <v>1505</v>
      </c>
      <c r="AJ12" s="22"/>
      <c r="AK12" s="22"/>
      <c r="AL12" s="22"/>
      <c r="AM12" s="23"/>
      <c r="AN12" s="26">
        <v>1545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494</v>
      </c>
      <c r="F13" s="22"/>
      <c r="G13" s="22"/>
      <c r="H13" s="22"/>
      <c r="I13" s="23"/>
      <c r="J13" s="32">
        <f t="shared" si="0"/>
        <v>0.61750000000000005</v>
      </c>
      <c r="K13" s="22"/>
      <c r="L13" s="22"/>
      <c r="M13" s="22"/>
      <c r="N13" s="23"/>
      <c r="O13" s="32">
        <v>1429</v>
      </c>
      <c r="P13" s="22"/>
      <c r="Q13" s="22"/>
      <c r="R13" s="22"/>
      <c r="S13" s="23"/>
      <c r="T13" s="36">
        <v>494</v>
      </c>
      <c r="U13" s="22"/>
      <c r="V13" s="22"/>
      <c r="W13" s="22"/>
      <c r="X13" s="23"/>
      <c r="Y13" s="24">
        <f t="shared" si="1"/>
        <v>0.65850200000000003</v>
      </c>
      <c r="Z13" s="22"/>
      <c r="AA13" s="22"/>
      <c r="AB13" s="22"/>
      <c r="AC13" s="23"/>
      <c r="AD13" s="24">
        <v>1447</v>
      </c>
      <c r="AE13" s="22"/>
      <c r="AF13" s="22"/>
      <c r="AG13" s="22"/>
      <c r="AH13" s="23"/>
      <c r="AI13" s="26">
        <v>1506</v>
      </c>
      <c r="AJ13" s="22"/>
      <c r="AK13" s="22"/>
      <c r="AL13" s="22"/>
      <c r="AM13" s="23"/>
      <c r="AN13" s="26">
        <v>1546</v>
      </c>
      <c r="AO13" s="22"/>
      <c r="AP13" s="22"/>
      <c r="AQ13" s="22"/>
      <c r="AR13" s="23"/>
      <c r="AS13" s="26"/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288</v>
      </c>
      <c r="F14" s="22"/>
      <c r="G14" s="22"/>
      <c r="H14" s="22"/>
      <c r="I14" s="23"/>
      <c r="J14" s="32">
        <f t="shared" si="0"/>
        <v>0.36</v>
      </c>
      <c r="K14" s="22"/>
      <c r="L14" s="22"/>
      <c r="M14" s="22"/>
      <c r="N14" s="23"/>
      <c r="O14" s="32">
        <v>1431</v>
      </c>
      <c r="P14" s="22"/>
      <c r="Q14" s="22"/>
      <c r="R14" s="22"/>
      <c r="S14" s="23"/>
      <c r="T14" s="24">
        <v>288</v>
      </c>
      <c r="U14" s="22"/>
      <c r="V14" s="22"/>
      <c r="W14" s="22"/>
      <c r="X14" s="23"/>
      <c r="Y14" s="24">
        <f t="shared" si="1"/>
        <v>0.38390400000000002</v>
      </c>
      <c r="Z14" s="22"/>
      <c r="AA14" s="22"/>
      <c r="AB14" s="22"/>
      <c r="AC14" s="23"/>
      <c r="AD14" s="24">
        <v>1449</v>
      </c>
      <c r="AE14" s="22"/>
      <c r="AF14" s="22"/>
      <c r="AG14" s="22"/>
      <c r="AH14" s="23"/>
      <c r="AI14" s="26">
        <v>1507</v>
      </c>
      <c r="AJ14" s="22"/>
      <c r="AK14" s="22"/>
      <c r="AL14" s="22"/>
      <c r="AM14" s="23"/>
      <c r="AN14" s="26">
        <v>1547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275</v>
      </c>
      <c r="F15" s="22"/>
      <c r="G15" s="22"/>
      <c r="H15" s="22"/>
      <c r="I15" s="23"/>
      <c r="J15" s="32">
        <f t="shared" si="0"/>
        <v>0.34375</v>
      </c>
      <c r="K15" s="22"/>
      <c r="L15" s="22"/>
      <c r="M15" s="22"/>
      <c r="N15" s="23"/>
      <c r="O15" s="32">
        <v>1433</v>
      </c>
      <c r="P15" s="22"/>
      <c r="Q15" s="22"/>
      <c r="R15" s="22"/>
      <c r="S15" s="23"/>
      <c r="T15" s="24">
        <v>275</v>
      </c>
      <c r="U15" s="22"/>
      <c r="V15" s="22"/>
      <c r="W15" s="22"/>
      <c r="X15" s="23"/>
      <c r="Y15" s="24">
        <f t="shared" si="1"/>
        <v>0.36657499999999998</v>
      </c>
      <c r="Z15" s="22"/>
      <c r="AA15" s="22"/>
      <c r="AB15" s="22"/>
      <c r="AC15" s="23"/>
      <c r="AD15" s="24">
        <v>1450</v>
      </c>
      <c r="AE15" s="22"/>
      <c r="AF15" s="22"/>
      <c r="AG15" s="22"/>
      <c r="AH15" s="23"/>
      <c r="AI15" s="26">
        <v>1508</v>
      </c>
      <c r="AJ15" s="22"/>
      <c r="AK15" s="22"/>
      <c r="AL15" s="22"/>
      <c r="AM15" s="23"/>
      <c r="AN15" s="26">
        <v>1548</v>
      </c>
      <c r="AO15" s="22"/>
      <c r="AP15" s="22"/>
      <c r="AQ15" s="22"/>
      <c r="AR15" s="23"/>
      <c r="AS15" s="26"/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448</v>
      </c>
      <c r="F16" s="22"/>
      <c r="G16" s="22"/>
      <c r="H16" s="22"/>
      <c r="I16" s="23"/>
      <c r="J16" s="32">
        <f t="shared" si="0"/>
        <v>0.56000000000000005</v>
      </c>
      <c r="K16" s="22"/>
      <c r="L16" s="22"/>
      <c r="M16" s="22"/>
      <c r="N16" s="23"/>
      <c r="O16" s="32">
        <v>1528</v>
      </c>
      <c r="P16" s="22"/>
      <c r="Q16" s="22"/>
      <c r="R16" s="22"/>
      <c r="S16" s="23"/>
      <c r="T16" s="24">
        <v>448</v>
      </c>
      <c r="U16" s="22"/>
      <c r="V16" s="22"/>
      <c r="W16" s="22"/>
      <c r="X16" s="23"/>
      <c r="Y16" s="24">
        <f t="shared" si="1"/>
        <v>0.59718399999999994</v>
      </c>
      <c r="Z16" s="22"/>
      <c r="AA16" s="22"/>
      <c r="AB16" s="22"/>
      <c r="AC16" s="23"/>
      <c r="AD16" s="24">
        <v>1545</v>
      </c>
      <c r="AE16" s="22"/>
      <c r="AF16" s="22"/>
      <c r="AG16" s="22"/>
      <c r="AH16" s="23"/>
      <c r="AI16" s="26">
        <v>1609</v>
      </c>
      <c r="AJ16" s="22"/>
      <c r="AK16" s="22"/>
      <c r="AL16" s="22"/>
      <c r="AM16" s="23"/>
      <c r="AN16" s="26">
        <v>1649</v>
      </c>
      <c r="AO16" s="22"/>
      <c r="AP16" s="22"/>
      <c r="AQ16" s="22"/>
      <c r="AR16" s="23"/>
      <c r="AS16" s="26"/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223</v>
      </c>
      <c r="F17" s="22"/>
      <c r="G17" s="22"/>
      <c r="H17" s="22"/>
      <c r="I17" s="23"/>
      <c r="J17" s="32">
        <f t="shared" si="0"/>
        <v>0.27875</v>
      </c>
      <c r="K17" s="22"/>
      <c r="L17" s="22"/>
      <c r="M17" s="22"/>
      <c r="N17" s="23"/>
      <c r="O17" s="32">
        <v>1531</v>
      </c>
      <c r="P17" s="22"/>
      <c r="Q17" s="22"/>
      <c r="R17" s="22"/>
      <c r="S17" s="23"/>
      <c r="T17" s="24">
        <v>223</v>
      </c>
      <c r="U17" s="22"/>
      <c r="V17" s="22"/>
      <c r="W17" s="22"/>
      <c r="X17" s="23"/>
      <c r="Y17" s="24">
        <f t="shared" si="1"/>
        <v>0.297259</v>
      </c>
      <c r="Z17" s="22"/>
      <c r="AA17" s="22"/>
      <c r="AB17" s="22"/>
      <c r="AC17" s="23"/>
      <c r="AD17" s="24">
        <v>1547</v>
      </c>
      <c r="AE17" s="22"/>
      <c r="AF17" s="22"/>
      <c r="AG17" s="22"/>
      <c r="AH17" s="23"/>
      <c r="AI17" s="26">
        <v>1610</v>
      </c>
      <c r="AJ17" s="22"/>
      <c r="AK17" s="22"/>
      <c r="AL17" s="22"/>
      <c r="AM17" s="23"/>
      <c r="AN17" s="26">
        <v>1650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>
        <v>473</v>
      </c>
      <c r="F18" s="22"/>
      <c r="G18" s="22"/>
      <c r="H18" s="22"/>
      <c r="I18" s="23"/>
      <c r="J18" s="32">
        <f t="shared" ref="J18:J25" si="2">E18*0.0012</f>
        <v>0.56759999999999999</v>
      </c>
      <c r="K18" s="22"/>
      <c r="L18" s="22"/>
      <c r="M18" s="22"/>
      <c r="N18" s="23"/>
      <c r="O18" s="31">
        <v>1142</v>
      </c>
      <c r="P18" s="22"/>
      <c r="Q18" s="22"/>
      <c r="R18" s="22"/>
      <c r="S18" s="23"/>
      <c r="T18" s="25">
        <v>473</v>
      </c>
      <c r="U18" s="22"/>
      <c r="V18" s="22"/>
      <c r="W18" s="22"/>
      <c r="X18" s="23"/>
      <c r="Y18" s="24">
        <f t="shared" si="1"/>
        <v>0.63050899999999999</v>
      </c>
      <c r="Z18" s="22"/>
      <c r="AA18" s="22"/>
      <c r="AB18" s="22"/>
      <c r="AC18" s="23"/>
      <c r="AD18" s="25">
        <v>1207</v>
      </c>
      <c r="AE18" s="22"/>
      <c r="AF18" s="22"/>
      <c r="AG18" s="22"/>
      <c r="AH18" s="23"/>
      <c r="AI18" s="21">
        <v>1220</v>
      </c>
      <c r="AJ18" s="22"/>
      <c r="AK18" s="22"/>
      <c r="AL18" s="22"/>
      <c r="AM18" s="23"/>
      <c r="AN18" s="21">
        <v>1300</v>
      </c>
      <c r="AO18" s="22"/>
      <c r="AP18" s="22"/>
      <c r="AQ18" s="22"/>
      <c r="AR18" s="23"/>
      <c r="AS18" s="21"/>
      <c r="AT18" s="22"/>
      <c r="AU18" s="22"/>
      <c r="AV18" s="22"/>
      <c r="AW18" s="23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>
        <v>410</v>
      </c>
      <c r="F19" s="22"/>
      <c r="G19" s="22"/>
      <c r="H19" s="22"/>
      <c r="I19" s="23"/>
      <c r="J19" s="32">
        <f t="shared" si="2"/>
        <v>0.49199999999999994</v>
      </c>
      <c r="K19" s="22"/>
      <c r="L19" s="22"/>
      <c r="M19" s="22"/>
      <c r="N19" s="23"/>
      <c r="O19" s="31">
        <v>1144</v>
      </c>
      <c r="P19" s="22"/>
      <c r="Q19" s="22"/>
      <c r="R19" s="22"/>
      <c r="S19" s="23"/>
      <c r="T19" s="34">
        <v>410</v>
      </c>
      <c r="U19" s="22"/>
      <c r="V19" s="22"/>
      <c r="W19" s="22"/>
      <c r="X19" s="23"/>
      <c r="Y19" s="24">
        <f t="shared" si="1"/>
        <v>0.54652999999999996</v>
      </c>
      <c r="Z19" s="22"/>
      <c r="AA19" s="22"/>
      <c r="AB19" s="22"/>
      <c r="AC19" s="23"/>
      <c r="AD19" s="25">
        <v>1208</v>
      </c>
      <c r="AE19" s="22"/>
      <c r="AF19" s="22"/>
      <c r="AG19" s="22"/>
      <c r="AH19" s="23"/>
      <c r="AI19" s="21">
        <v>1221</v>
      </c>
      <c r="AJ19" s="22"/>
      <c r="AK19" s="22"/>
      <c r="AL19" s="22"/>
      <c r="AM19" s="23"/>
      <c r="AN19" s="21">
        <v>1301</v>
      </c>
      <c r="AO19" s="22"/>
      <c r="AP19" s="22"/>
      <c r="AQ19" s="22"/>
      <c r="AR19" s="23"/>
      <c r="AS19" s="30" t="s">
        <v>129</v>
      </c>
      <c r="AT19" s="22"/>
      <c r="AU19" s="22"/>
      <c r="AV19" s="22"/>
      <c r="AW19" s="23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>
        <v>263</v>
      </c>
      <c r="F20" s="22"/>
      <c r="G20" s="22"/>
      <c r="H20" s="22"/>
      <c r="I20" s="23"/>
      <c r="J20" s="32">
        <f t="shared" si="2"/>
        <v>0.31559999999999999</v>
      </c>
      <c r="K20" s="22"/>
      <c r="L20" s="22"/>
      <c r="M20" s="22"/>
      <c r="N20" s="23"/>
      <c r="O20" s="31">
        <v>1148</v>
      </c>
      <c r="P20" s="22"/>
      <c r="Q20" s="22"/>
      <c r="R20" s="22"/>
      <c r="S20" s="23"/>
      <c r="T20" s="34">
        <v>263</v>
      </c>
      <c r="U20" s="22"/>
      <c r="V20" s="22"/>
      <c r="W20" s="22"/>
      <c r="X20" s="23"/>
      <c r="Y20" s="24">
        <f t="shared" si="1"/>
        <v>0.35057899999999997</v>
      </c>
      <c r="Z20" s="22"/>
      <c r="AA20" s="22"/>
      <c r="AB20" s="22"/>
      <c r="AC20" s="23"/>
      <c r="AD20" s="25">
        <v>1212</v>
      </c>
      <c r="AE20" s="22"/>
      <c r="AF20" s="22"/>
      <c r="AG20" s="22"/>
      <c r="AH20" s="23"/>
      <c r="AI20" s="21">
        <v>1222</v>
      </c>
      <c r="AJ20" s="22"/>
      <c r="AK20" s="22"/>
      <c r="AL20" s="22"/>
      <c r="AM20" s="23"/>
      <c r="AN20" s="21">
        <v>1302</v>
      </c>
      <c r="AO20" s="22"/>
      <c r="AP20" s="22"/>
      <c r="AQ20" s="22"/>
      <c r="AR20" s="23"/>
      <c r="AS20" s="21"/>
      <c r="AT20" s="22"/>
      <c r="AU20" s="22"/>
      <c r="AV20" s="22"/>
      <c r="AW20" s="23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>
        <v>272</v>
      </c>
      <c r="F21" s="22"/>
      <c r="G21" s="22"/>
      <c r="H21" s="22"/>
      <c r="I21" s="23"/>
      <c r="J21" s="32">
        <f t="shared" si="2"/>
        <v>0.32639999999999997</v>
      </c>
      <c r="K21" s="22"/>
      <c r="L21" s="22"/>
      <c r="M21" s="22"/>
      <c r="N21" s="23"/>
      <c r="O21" s="31">
        <v>1149</v>
      </c>
      <c r="P21" s="22"/>
      <c r="Q21" s="22"/>
      <c r="R21" s="22"/>
      <c r="S21" s="23"/>
      <c r="T21" s="34">
        <v>272</v>
      </c>
      <c r="U21" s="22"/>
      <c r="V21" s="22"/>
      <c r="W21" s="22"/>
      <c r="X21" s="23"/>
      <c r="Y21" s="24">
        <f t="shared" si="1"/>
        <v>0.36257600000000001</v>
      </c>
      <c r="Z21" s="22"/>
      <c r="AA21" s="22"/>
      <c r="AB21" s="22"/>
      <c r="AC21" s="23"/>
      <c r="AD21" s="25">
        <v>1214</v>
      </c>
      <c r="AE21" s="22"/>
      <c r="AF21" s="22"/>
      <c r="AG21" s="22"/>
      <c r="AH21" s="23"/>
      <c r="AI21" s="21">
        <v>1223</v>
      </c>
      <c r="AJ21" s="22"/>
      <c r="AK21" s="22"/>
      <c r="AL21" s="22"/>
      <c r="AM21" s="23"/>
      <c r="AN21" s="21">
        <v>1303</v>
      </c>
      <c r="AO21" s="22"/>
      <c r="AP21" s="22"/>
      <c r="AQ21" s="22"/>
      <c r="AR21" s="23"/>
      <c r="AS21" s="21"/>
      <c r="AT21" s="22"/>
      <c r="AU21" s="22"/>
      <c r="AV21" s="22"/>
      <c r="AW21" s="23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>
        <v>295</v>
      </c>
      <c r="F22" s="22"/>
      <c r="G22" s="22"/>
      <c r="H22" s="22"/>
      <c r="I22" s="23"/>
      <c r="J22" s="32">
        <f t="shared" si="2"/>
        <v>0.35399999999999998</v>
      </c>
      <c r="K22" s="22"/>
      <c r="L22" s="22"/>
      <c r="M22" s="22"/>
      <c r="N22" s="23"/>
      <c r="O22" s="31">
        <v>1330</v>
      </c>
      <c r="P22" s="22"/>
      <c r="Q22" s="22"/>
      <c r="R22" s="22"/>
      <c r="S22" s="23"/>
      <c r="T22" s="25">
        <v>295</v>
      </c>
      <c r="U22" s="22"/>
      <c r="V22" s="22"/>
      <c r="W22" s="22"/>
      <c r="X22" s="23"/>
      <c r="Y22" s="24">
        <f t="shared" si="1"/>
        <v>0.393235</v>
      </c>
      <c r="Z22" s="22"/>
      <c r="AA22" s="22"/>
      <c r="AB22" s="22"/>
      <c r="AC22" s="23"/>
      <c r="AD22" s="25">
        <v>1350</v>
      </c>
      <c r="AE22" s="22"/>
      <c r="AF22" s="22"/>
      <c r="AG22" s="22"/>
      <c r="AH22" s="23"/>
      <c r="AI22" s="21">
        <v>1407</v>
      </c>
      <c r="AJ22" s="22"/>
      <c r="AK22" s="22"/>
      <c r="AL22" s="22"/>
      <c r="AM22" s="23"/>
      <c r="AN22" s="21">
        <v>1447</v>
      </c>
      <c r="AO22" s="22"/>
      <c r="AP22" s="22"/>
      <c r="AQ22" s="22"/>
      <c r="AR22" s="23"/>
      <c r="AS22" s="21"/>
      <c r="AT22" s="22"/>
      <c r="AU22" s="22"/>
      <c r="AV22" s="22"/>
      <c r="AW22" s="23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>
        <v>267</v>
      </c>
      <c r="F23" s="22"/>
      <c r="G23" s="22"/>
      <c r="H23" s="22"/>
      <c r="I23" s="23"/>
      <c r="J23" s="32">
        <f t="shared" si="2"/>
        <v>0.32039999999999996</v>
      </c>
      <c r="K23" s="22"/>
      <c r="L23" s="22"/>
      <c r="M23" s="22"/>
      <c r="N23" s="23"/>
      <c r="O23" s="31">
        <v>1333</v>
      </c>
      <c r="P23" s="22"/>
      <c r="Q23" s="22"/>
      <c r="R23" s="22"/>
      <c r="S23" s="23"/>
      <c r="T23" s="25">
        <v>267</v>
      </c>
      <c r="U23" s="22"/>
      <c r="V23" s="22"/>
      <c r="W23" s="22"/>
      <c r="X23" s="23"/>
      <c r="Y23" s="24">
        <f t="shared" si="1"/>
        <v>0.35591099999999998</v>
      </c>
      <c r="Z23" s="22"/>
      <c r="AA23" s="22"/>
      <c r="AB23" s="22"/>
      <c r="AC23" s="23"/>
      <c r="AD23" s="25">
        <v>1352</v>
      </c>
      <c r="AE23" s="22"/>
      <c r="AF23" s="22"/>
      <c r="AG23" s="22"/>
      <c r="AH23" s="23"/>
      <c r="AI23" s="21">
        <v>1408</v>
      </c>
      <c r="AJ23" s="22"/>
      <c r="AK23" s="22"/>
      <c r="AL23" s="22"/>
      <c r="AM23" s="23"/>
      <c r="AN23" s="21">
        <v>1448</v>
      </c>
      <c r="AO23" s="22"/>
      <c r="AP23" s="22"/>
      <c r="AQ23" s="22"/>
      <c r="AR23" s="23"/>
      <c r="AS23" s="21"/>
      <c r="AT23" s="22"/>
      <c r="AU23" s="22"/>
      <c r="AV23" s="22"/>
      <c r="AW23" s="23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>
        <v>421</v>
      </c>
      <c r="F24" s="22"/>
      <c r="G24" s="22"/>
      <c r="H24" s="22"/>
      <c r="I24" s="23"/>
      <c r="J24" s="32">
        <f t="shared" si="2"/>
        <v>0.50519999999999998</v>
      </c>
      <c r="K24" s="22"/>
      <c r="L24" s="22"/>
      <c r="M24" s="22"/>
      <c r="N24" s="23"/>
      <c r="O24" s="31">
        <v>1335</v>
      </c>
      <c r="P24" s="22"/>
      <c r="Q24" s="22"/>
      <c r="R24" s="22"/>
      <c r="S24" s="23"/>
      <c r="T24" s="25">
        <v>421</v>
      </c>
      <c r="U24" s="22"/>
      <c r="V24" s="22"/>
      <c r="W24" s="22"/>
      <c r="X24" s="23"/>
      <c r="Y24" s="24">
        <f t="shared" si="1"/>
        <v>0.56119299999999994</v>
      </c>
      <c r="Z24" s="22"/>
      <c r="AA24" s="22"/>
      <c r="AB24" s="22"/>
      <c r="AC24" s="23"/>
      <c r="AD24" s="25">
        <v>1354</v>
      </c>
      <c r="AE24" s="22"/>
      <c r="AF24" s="22"/>
      <c r="AG24" s="22"/>
      <c r="AH24" s="23"/>
      <c r="AI24" s="21">
        <v>1409</v>
      </c>
      <c r="AJ24" s="22"/>
      <c r="AK24" s="22"/>
      <c r="AL24" s="22"/>
      <c r="AM24" s="23"/>
      <c r="AN24" s="21">
        <v>1449</v>
      </c>
      <c r="AO24" s="22"/>
      <c r="AP24" s="22"/>
      <c r="AQ24" s="22"/>
      <c r="AR24" s="23"/>
      <c r="AS24" s="21"/>
      <c r="AT24" s="22"/>
      <c r="AU24" s="22"/>
      <c r="AV24" s="22"/>
      <c r="AW24" s="23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>
        <v>272</v>
      </c>
      <c r="F25" s="22"/>
      <c r="G25" s="22"/>
      <c r="H25" s="22"/>
      <c r="I25" s="23"/>
      <c r="J25" s="32">
        <f t="shared" si="2"/>
        <v>0.32639999999999997</v>
      </c>
      <c r="K25" s="22"/>
      <c r="L25" s="22"/>
      <c r="M25" s="22"/>
      <c r="N25" s="23"/>
      <c r="O25" s="31">
        <v>1338</v>
      </c>
      <c r="P25" s="22"/>
      <c r="Q25" s="22"/>
      <c r="R25" s="22"/>
      <c r="S25" s="23"/>
      <c r="T25" s="25">
        <v>272</v>
      </c>
      <c r="U25" s="22"/>
      <c r="V25" s="22"/>
      <c r="W25" s="22"/>
      <c r="X25" s="23"/>
      <c r="Y25" s="24">
        <f t="shared" si="1"/>
        <v>0.36257600000000001</v>
      </c>
      <c r="Z25" s="22"/>
      <c r="AA25" s="22"/>
      <c r="AB25" s="22"/>
      <c r="AC25" s="23"/>
      <c r="AD25" s="25">
        <v>1357</v>
      </c>
      <c r="AE25" s="22"/>
      <c r="AF25" s="22"/>
      <c r="AG25" s="22"/>
      <c r="AH25" s="23"/>
      <c r="AI25" s="21">
        <v>1410</v>
      </c>
      <c r="AJ25" s="22"/>
      <c r="AK25" s="22"/>
      <c r="AL25" s="22"/>
      <c r="AM25" s="23"/>
      <c r="AN25" s="21">
        <v>1450</v>
      </c>
      <c r="AO25" s="22"/>
      <c r="AP25" s="22"/>
      <c r="AQ25" s="22"/>
      <c r="AR25" s="23"/>
      <c r="AS25" s="21"/>
      <c r="AT25" s="22"/>
      <c r="AU25" s="22"/>
      <c r="AV25" s="22"/>
      <c r="AW25" s="23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285</v>
      </c>
      <c r="F26" s="22"/>
      <c r="G26" s="22"/>
      <c r="H26" s="22"/>
      <c r="I26" s="23"/>
      <c r="J26" s="32">
        <f t="shared" ref="J26:J39" si="3">E26*0.00125</f>
        <v>0.35625000000000001</v>
      </c>
      <c r="K26" s="22"/>
      <c r="L26" s="22"/>
      <c r="M26" s="22"/>
      <c r="N26" s="23"/>
      <c r="O26" s="31">
        <v>753</v>
      </c>
      <c r="P26" s="22"/>
      <c r="Q26" s="22"/>
      <c r="R26" s="22"/>
      <c r="S26" s="23"/>
      <c r="T26" s="25">
        <v>285</v>
      </c>
      <c r="U26" s="22"/>
      <c r="V26" s="22"/>
      <c r="W26" s="22"/>
      <c r="X26" s="23"/>
      <c r="Y26" s="24">
        <f t="shared" si="1"/>
        <v>0.37990499999999999</v>
      </c>
      <c r="Z26" s="22"/>
      <c r="AA26" s="22"/>
      <c r="AB26" s="22"/>
      <c r="AC26" s="23"/>
      <c r="AD26" s="25">
        <v>814</v>
      </c>
      <c r="AE26" s="22"/>
      <c r="AF26" s="22"/>
      <c r="AG26" s="22"/>
      <c r="AH26" s="23"/>
      <c r="AI26" s="21">
        <v>827</v>
      </c>
      <c r="AJ26" s="22"/>
      <c r="AK26" s="22"/>
      <c r="AL26" s="22"/>
      <c r="AM26" s="23"/>
      <c r="AN26" s="21">
        <v>907</v>
      </c>
      <c r="AO26" s="22"/>
      <c r="AP26" s="22"/>
      <c r="AQ26" s="22"/>
      <c r="AR26" s="23"/>
      <c r="AS26" s="21"/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275</v>
      </c>
      <c r="F27" s="22"/>
      <c r="G27" s="22"/>
      <c r="H27" s="22"/>
      <c r="I27" s="23"/>
      <c r="J27" s="32">
        <f t="shared" si="3"/>
        <v>0.34375</v>
      </c>
      <c r="K27" s="22"/>
      <c r="L27" s="22"/>
      <c r="M27" s="22"/>
      <c r="N27" s="23"/>
      <c r="O27" s="31">
        <v>755</v>
      </c>
      <c r="P27" s="22"/>
      <c r="Q27" s="22"/>
      <c r="R27" s="22"/>
      <c r="S27" s="23"/>
      <c r="T27" s="34">
        <v>275</v>
      </c>
      <c r="U27" s="22"/>
      <c r="V27" s="22"/>
      <c r="W27" s="22"/>
      <c r="X27" s="23"/>
      <c r="Y27" s="24">
        <f t="shared" si="1"/>
        <v>0.36657499999999998</v>
      </c>
      <c r="Z27" s="22"/>
      <c r="AA27" s="22"/>
      <c r="AB27" s="22"/>
      <c r="AC27" s="23"/>
      <c r="AD27" s="25">
        <v>816</v>
      </c>
      <c r="AE27" s="22"/>
      <c r="AF27" s="22"/>
      <c r="AG27" s="22"/>
      <c r="AH27" s="23"/>
      <c r="AI27" s="21">
        <v>828</v>
      </c>
      <c r="AJ27" s="22"/>
      <c r="AK27" s="22"/>
      <c r="AL27" s="22"/>
      <c r="AM27" s="23"/>
      <c r="AN27" s="21">
        <v>908</v>
      </c>
      <c r="AO27" s="22"/>
      <c r="AP27" s="22"/>
      <c r="AQ27" s="22"/>
      <c r="AR27" s="23"/>
      <c r="AS27" s="21"/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270</v>
      </c>
      <c r="F28" s="22"/>
      <c r="G28" s="22"/>
      <c r="H28" s="22"/>
      <c r="I28" s="23"/>
      <c r="J28" s="32">
        <f t="shared" si="3"/>
        <v>0.33750000000000002</v>
      </c>
      <c r="K28" s="22"/>
      <c r="L28" s="22"/>
      <c r="M28" s="22"/>
      <c r="N28" s="23"/>
      <c r="O28" s="31">
        <v>756</v>
      </c>
      <c r="P28" s="22"/>
      <c r="Q28" s="22"/>
      <c r="R28" s="22"/>
      <c r="S28" s="23"/>
      <c r="T28" s="34">
        <v>270</v>
      </c>
      <c r="U28" s="22"/>
      <c r="V28" s="22"/>
      <c r="W28" s="22"/>
      <c r="X28" s="23"/>
      <c r="Y28" s="24">
        <f t="shared" si="1"/>
        <v>0.35991000000000001</v>
      </c>
      <c r="Z28" s="22"/>
      <c r="AA28" s="22"/>
      <c r="AB28" s="22"/>
      <c r="AC28" s="23"/>
      <c r="AD28" s="25">
        <v>817</v>
      </c>
      <c r="AE28" s="22"/>
      <c r="AF28" s="22"/>
      <c r="AG28" s="22"/>
      <c r="AH28" s="23"/>
      <c r="AI28" s="21">
        <v>829</v>
      </c>
      <c r="AJ28" s="22"/>
      <c r="AK28" s="22"/>
      <c r="AL28" s="22"/>
      <c r="AM28" s="23"/>
      <c r="AN28" s="21">
        <v>909</v>
      </c>
      <c r="AO28" s="22"/>
      <c r="AP28" s="22"/>
      <c r="AQ28" s="22"/>
      <c r="AR28" s="23"/>
      <c r="AS28" s="21"/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261</v>
      </c>
      <c r="F29" s="22"/>
      <c r="G29" s="22"/>
      <c r="H29" s="22"/>
      <c r="I29" s="23"/>
      <c r="J29" s="32">
        <f t="shared" si="3"/>
        <v>0.32624999999999998</v>
      </c>
      <c r="K29" s="22"/>
      <c r="L29" s="22"/>
      <c r="M29" s="22"/>
      <c r="N29" s="23"/>
      <c r="O29" s="31">
        <v>757</v>
      </c>
      <c r="P29" s="22"/>
      <c r="Q29" s="22"/>
      <c r="R29" s="22"/>
      <c r="S29" s="23"/>
      <c r="T29" s="34">
        <v>261</v>
      </c>
      <c r="U29" s="22"/>
      <c r="V29" s="22"/>
      <c r="W29" s="22"/>
      <c r="X29" s="23"/>
      <c r="Y29" s="24">
        <f t="shared" si="1"/>
        <v>0.34791299999999997</v>
      </c>
      <c r="Z29" s="22"/>
      <c r="AA29" s="22"/>
      <c r="AB29" s="22"/>
      <c r="AC29" s="23"/>
      <c r="AD29" s="25">
        <v>818</v>
      </c>
      <c r="AE29" s="22"/>
      <c r="AF29" s="22"/>
      <c r="AG29" s="22"/>
      <c r="AH29" s="23"/>
      <c r="AI29" s="21">
        <v>830</v>
      </c>
      <c r="AJ29" s="22"/>
      <c r="AK29" s="22"/>
      <c r="AL29" s="22"/>
      <c r="AM29" s="23"/>
      <c r="AN29" s="21">
        <v>910</v>
      </c>
      <c r="AO29" s="22"/>
      <c r="AP29" s="22"/>
      <c r="AQ29" s="22"/>
      <c r="AR29" s="23"/>
      <c r="AS29" s="21"/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299</v>
      </c>
      <c r="F30" s="22"/>
      <c r="G30" s="22"/>
      <c r="H30" s="22"/>
      <c r="I30" s="23"/>
      <c r="J30" s="32">
        <f t="shared" si="3"/>
        <v>0.37375000000000003</v>
      </c>
      <c r="K30" s="22"/>
      <c r="L30" s="22"/>
      <c r="M30" s="22"/>
      <c r="N30" s="23"/>
      <c r="O30" s="31">
        <v>758</v>
      </c>
      <c r="P30" s="22"/>
      <c r="Q30" s="22"/>
      <c r="R30" s="22"/>
      <c r="S30" s="23"/>
      <c r="T30" s="25">
        <v>299</v>
      </c>
      <c r="U30" s="22"/>
      <c r="V30" s="22"/>
      <c r="W30" s="22"/>
      <c r="X30" s="23"/>
      <c r="Y30" s="24">
        <f t="shared" si="1"/>
        <v>0.398567</v>
      </c>
      <c r="Z30" s="22"/>
      <c r="AA30" s="22"/>
      <c r="AB30" s="22"/>
      <c r="AC30" s="23"/>
      <c r="AD30" s="25">
        <v>819</v>
      </c>
      <c r="AE30" s="22"/>
      <c r="AF30" s="22"/>
      <c r="AG30" s="22"/>
      <c r="AH30" s="23"/>
      <c r="AI30" s="21">
        <v>831</v>
      </c>
      <c r="AJ30" s="22"/>
      <c r="AK30" s="22"/>
      <c r="AL30" s="22"/>
      <c r="AM30" s="23"/>
      <c r="AN30" s="21">
        <v>911</v>
      </c>
      <c r="AO30" s="22"/>
      <c r="AP30" s="22"/>
      <c r="AQ30" s="22"/>
      <c r="AR30" s="23"/>
      <c r="AS30" s="21"/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288</v>
      </c>
      <c r="F31" s="22"/>
      <c r="G31" s="22"/>
      <c r="H31" s="22"/>
      <c r="I31" s="23"/>
      <c r="J31" s="32">
        <f t="shared" si="3"/>
        <v>0.36</v>
      </c>
      <c r="K31" s="22"/>
      <c r="L31" s="22"/>
      <c r="M31" s="22"/>
      <c r="N31" s="23"/>
      <c r="O31" s="31">
        <v>845</v>
      </c>
      <c r="P31" s="22"/>
      <c r="Q31" s="22"/>
      <c r="R31" s="22"/>
      <c r="S31" s="23"/>
      <c r="T31" s="25">
        <v>288</v>
      </c>
      <c r="U31" s="22"/>
      <c r="V31" s="22"/>
      <c r="W31" s="22"/>
      <c r="X31" s="23"/>
      <c r="Y31" s="24">
        <f t="shared" si="1"/>
        <v>0.38390400000000002</v>
      </c>
      <c r="Z31" s="22"/>
      <c r="AA31" s="22"/>
      <c r="AB31" s="22"/>
      <c r="AC31" s="23"/>
      <c r="AD31" s="25">
        <v>900</v>
      </c>
      <c r="AE31" s="22"/>
      <c r="AF31" s="22"/>
      <c r="AG31" s="22"/>
      <c r="AH31" s="23"/>
      <c r="AI31" s="21">
        <v>917</v>
      </c>
      <c r="AJ31" s="22"/>
      <c r="AK31" s="22"/>
      <c r="AL31" s="22"/>
      <c r="AM31" s="23"/>
      <c r="AN31" s="21">
        <v>952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293</v>
      </c>
      <c r="F32" s="22"/>
      <c r="G32" s="22"/>
      <c r="H32" s="22"/>
      <c r="I32" s="23"/>
      <c r="J32" s="32">
        <f t="shared" si="3"/>
        <v>0.36625000000000002</v>
      </c>
      <c r="K32" s="22"/>
      <c r="L32" s="22"/>
      <c r="M32" s="22"/>
      <c r="N32" s="23"/>
      <c r="O32" s="31">
        <v>846</v>
      </c>
      <c r="P32" s="22"/>
      <c r="Q32" s="22"/>
      <c r="R32" s="22"/>
      <c r="S32" s="23"/>
      <c r="T32" s="25">
        <v>293</v>
      </c>
      <c r="U32" s="22"/>
      <c r="V32" s="22"/>
      <c r="W32" s="22"/>
      <c r="X32" s="23"/>
      <c r="Y32" s="24">
        <f t="shared" si="1"/>
        <v>0.390569</v>
      </c>
      <c r="Z32" s="22"/>
      <c r="AA32" s="22"/>
      <c r="AB32" s="22"/>
      <c r="AC32" s="23"/>
      <c r="AD32" s="25">
        <v>902</v>
      </c>
      <c r="AE32" s="22"/>
      <c r="AF32" s="22"/>
      <c r="AG32" s="22"/>
      <c r="AH32" s="23"/>
      <c r="AI32" s="21">
        <v>918</v>
      </c>
      <c r="AJ32" s="22"/>
      <c r="AK32" s="22"/>
      <c r="AL32" s="22"/>
      <c r="AM32" s="23"/>
      <c r="AN32" s="21">
        <v>953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411</v>
      </c>
      <c r="F33" s="22"/>
      <c r="G33" s="22"/>
      <c r="H33" s="22"/>
      <c r="I33" s="23"/>
      <c r="J33" s="32">
        <f t="shared" si="3"/>
        <v>0.51375000000000004</v>
      </c>
      <c r="K33" s="22"/>
      <c r="L33" s="22"/>
      <c r="M33" s="22"/>
      <c r="N33" s="23"/>
      <c r="O33" s="31">
        <v>847</v>
      </c>
      <c r="P33" s="22"/>
      <c r="Q33" s="22"/>
      <c r="R33" s="22"/>
      <c r="S33" s="23"/>
      <c r="T33" s="25">
        <v>411</v>
      </c>
      <c r="U33" s="22"/>
      <c r="V33" s="22"/>
      <c r="W33" s="22"/>
      <c r="X33" s="23"/>
      <c r="Y33" s="24">
        <f t="shared" si="1"/>
        <v>0.54786299999999999</v>
      </c>
      <c r="Z33" s="22"/>
      <c r="AA33" s="22"/>
      <c r="AB33" s="22"/>
      <c r="AC33" s="23"/>
      <c r="AD33" s="25">
        <v>903</v>
      </c>
      <c r="AE33" s="22"/>
      <c r="AF33" s="22"/>
      <c r="AG33" s="22"/>
      <c r="AH33" s="23"/>
      <c r="AI33" s="21">
        <v>919</v>
      </c>
      <c r="AJ33" s="22"/>
      <c r="AK33" s="22"/>
      <c r="AL33" s="22"/>
      <c r="AM33" s="23"/>
      <c r="AN33" s="21">
        <v>954</v>
      </c>
      <c r="AO33" s="22"/>
      <c r="AP33" s="22"/>
      <c r="AQ33" s="22"/>
      <c r="AR33" s="23"/>
      <c r="AS33" s="21"/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275</v>
      </c>
      <c r="F34" s="22"/>
      <c r="G34" s="22"/>
      <c r="H34" s="22"/>
      <c r="I34" s="23"/>
      <c r="J34" s="32">
        <f t="shared" si="3"/>
        <v>0.34375</v>
      </c>
      <c r="K34" s="22"/>
      <c r="L34" s="22"/>
      <c r="M34" s="22"/>
      <c r="N34" s="23"/>
      <c r="O34" s="31">
        <v>849</v>
      </c>
      <c r="P34" s="22"/>
      <c r="Q34" s="22"/>
      <c r="R34" s="22"/>
      <c r="S34" s="23"/>
      <c r="T34" s="34">
        <v>275</v>
      </c>
      <c r="U34" s="22"/>
      <c r="V34" s="22"/>
      <c r="W34" s="22"/>
      <c r="X34" s="23"/>
      <c r="Y34" s="24">
        <f t="shared" si="1"/>
        <v>0.36657499999999998</v>
      </c>
      <c r="Z34" s="22"/>
      <c r="AA34" s="22"/>
      <c r="AB34" s="22"/>
      <c r="AC34" s="23"/>
      <c r="AD34" s="25">
        <v>904</v>
      </c>
      <c r="AE34" s="22"/>
      <c r="AF34" s="22"/>
      <c r="AG34" s="22"/>
      <c r="AH34" s="23"/>
      <c r="AI34" s="21">
        <v>920</v>
      </c>
      <c r="AJ34" s="22"/>
      <c r="AK34" s="22"/>
      <c r="AL34" s="22"/>
      <c r="AM34" s="23"/>
      <c r="AN34" s="21">
        <v>955</v>
      </c>
      <c r="AO34" s="22"/>
      <c r="AP34" s="22"/>
      <c r="AQ34" s="22"/>
      <c r="AR34" s="23"/>
      <c r="AS34" s="21"/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280</v>
      </c>
      <c r="F35" s="22"/>
      <c r="G35" s="22"/>
      <c r="H35" s="22"/>
      <c r="I35" s="23"/>
      <c r="J35" s="32">
        <f t="shared" si="3"/>
        <v>0.35000000000000003</v>
      </c>
      <c r="K35" s="22"/>
      <c r="L35" s="22"/>
      <c r="M35" s="22"/>
      <c r="N35" s="23"/>
      <c r="O35" s="31">
        <v>850</v>
      </c>
      <c r="P35" s="22"/>
      <c r="Q35" s="22"/>
      <c r="R35" s="22"/>
      <c r="S35" s="23"/>
      <c r="T35" s="34">
        <v>280</v>
      </c>
      <c r="U35" s="22"/>
      <c r="V35" s="22"/>
      <c r="W35" s="22"/>
      <c r="X35" s="23"/>
      <c r="Y35" s="24">
        <f t="shared" si="1"/>
        <v>0.37324000000000002</v>
      </c>
      <c r="Z35" s="22"/>
      <c r="AA35" s="22"/>
      <c r="AB35" s="22"/>
      <c r="AC35" s="23"/>
      <c r="AD35" s="25">
        <v>905</v>
      </c>
      <c r="AE35" s="22"/>
      <c r="AF35" s="22"/>
      <c r="AG35" s="22"/>
      <c r="AH35" s="23"/>
      <c r="AI35" s="21">
        <v>921</v>
      </c>
      <c r="AJ35" s="22"/>
      <c r="AK35" s="22"/>
      <c r="AL35" s="22"/>
      <c r="AM35" s="23"/>
      <c r="AN35" s="21">
        <v>956</v>
      </c>
      <c r="AO35" s="22"/>
      <c r="AP35" s="22"/>
      <c r="AQ35" s="22"/>
      <c r="AR35" s="23"/>
      <c r="AS35" s="21"/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245</v>
      </c>
      <c r="F36" s="22"/>
      <c r="G36" s="22"/>
      <c r="H36" s="22"/>
      <c r="I36" s="23"/>
      <c r="J36" s="32">
        <f t="shared" si="3"/>
        <v>0.30625000000000002</v>
      </c>
      <c r="K36" s="22"/>
      <c r="L36" s="22"/>
      <c r="M36" s="22"/>
      <c r="N36" s="23"/>
      <c r="O36" s="31">
        <v>942</v>
      </c>
      <c r="P36" s="22"/>
      <c r="Q36" s="22"/>
      <c r="R36" s="22"/>
      <c r="S36" s="23"/>
      <c r="T36" s="34">
        <v>245</v>
      </c>
      <c r="U36" s="22"/>
      <c r="V36" s="22"/>
      <c r="W36" s="22"/>
      <c r="X36" s="23"/>
      <c r="Y36" s="24">
        <f t="shared" si="1"/>
        <v>0.32658500000000001</v>
      </c>
      <c r="Z36" s="22"/>
      <c r="AA36" s="22"/>
      <c r="AB36" s="22"/>
      <c r="AC36" s="23"/>
      <c r="AD36" s="25">
        <v>957</v>
      </c>
      <c r="AE36" s="22"/>
      <c r="AF36" s="22"/>
      <c r="AG36" s="22"/>
      <c r="AH36" s="23"/>
      <c r="AI36" s="21">
        <v>1013</v>
      </c>
      <c r="AJ36" s="22"/>
      <c r="AK36" s="22"/>
      <c r="AL36" s="22"/>
      <c r="AM36" s="23"/>
      <c r="AN36" s="21">
        <v>1058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442</v>
      </c>
      <c r="F37" s="22"/>
      <c r="G37" s="22"/>
      <c r="H37" s="22"/>
      <c r="I37" s="23"/>
      <c r="J37" s="32">
        <f t="shared" si="3"/>
        <v>0.55249999999999999</v>
      </c>
      <c r="K37" s="22"/>
      <c r="L37" s="22"/>
      <c r="M37" s="22"/>
      <c r="N37" s="23"/>
      <c r="O37" s="31">
        <v>944</v>
      </c>
      <c r="P37" s="22"/>
      <c r="Q37" s="22"/>
      <c r="R37" s="22"/>
      <c r="S37" s="23"/>
      <c r="T37" s="34">
        <v>442</v>
      </c>
      <c r="U37" s="22"/>
      <c r="V37" s="22"/>
      <c r="W37" s="22"/>
      <c r="X37" s="23"/>
      <c r="Y37" s="24">
        <f t="shared" si="1"/>
        <v>0.58918599999999999</v>
      </c>
      <c r="Z37" s="22"/>
      <c r="AA37" s="22"/>
      <c r="AB37" s="22"/>
      <c r="AC37" s="23"/>
      <c r="AD37" s="25">
        <v>958</v>
      </c>
      <c r="AE37" s="22"/>
      <c r="AF37" s="22"/>
      <c r="AG37" s="22"/>
      <c r="AH37" s="23"/>
      <c r="AI37" s="21">
        <v>1014</v>
      </c>
      <c r="AJ37" s="22"/>
      <c r="AK37" s="22"/>
      <c r="AL37" s="22"/>
      <c r="AM37" s="23"/>
      <c r="AN37" s="21">
        <v>1059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466</v>
      </c>
      <c r="F38" s="22"/>
      <c r="G38" s="22"/>
      <c r="H38" s="22"/>
      <c r="I38" s="23"/>
      <c r="J38" s="32">
        <f t="shared" si="3"/>
        <v>0.58250000000000002</v>
      </c>
      <c r="K38" s="22"/>
      <c r="L38" s="22"/>
      <c r="M38" s="22"/>
      <c r="N38" s="23"/>
      <c r="O38" s="31">
        <v>945</v>
      </c>
      <c r="P38" s="22"/>
      <c r="Q38" s="22"/>
      <c r="R38" s="22"/>
      <c r="S38" s="23"/>
      <c r="T38" s="34">
        <v>466</v>
      </c>
      <c r="U38" s="22"/>
      <c r="V38" s="22"/>
      <c r="W38" s="22"/>
      <c r="X38" s="23"/>
      <c r="Y38" s="24">
        <f t="shared" si="1"/>
        <v>0.62117800000000001</v>
      </c>
      <c r="Z38" s="22"/>
      <c r="AA38" s="22"/>
      <c r="AB38" s="22"/>
      <c r="AC38" s="23"/>
      <c r="AD38" s="25">
        <v>1000</v>
      </c>
      <c r="AE38" s="22"/>
      <c r="AF38" s="22"/>
      <c r="AG38" s="22"/>
      <c r="AH38" s="23"/>
      <c r="AI38" s="21">
        <v>1015</v>
      </c>
      <c r="AJ38" s="22"/>
      <c r="AK38" s="22"/>
      <c r="AL38" s="22"/>
      <c r="AM38" s="23"/>
      <c r="AN38" s="21">
        <v>1100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286</v>
      </c>
      <c r="F39" s="22"/>
      <c r="G39" s="22"/>
      <c r="H39" s="22"/>
      <c r="I39" s="23"/>
      <c r="J39" s="32">
        <f t="shared" si="3"/>
        <v>0.35749999999999998</v>
      </c>
      <c r="K39" s="22"/>
      <c r="L39" s="22"/>
      <c r="M39" s="22"/>
      <c r="N39" s="23"/>
      <c r="O39" s="31">
        <v>947</v>
      </c>
      <c r="P39" s="22"/>
      <c r="Q39" s="22"/>
      <c r="R39" s="22"/>
      <c r="S39" s="23"/>
      <c r="T39" s="25">
        <v>286</v>
      </c>
      <c r="U39" s="22"/>
      <c r="V39" s="22"/>
      <c r="W39" s="22"/>
      <c r="X39" s="23"/>
      <c r="Y39" s="24">
        <f t="shared" si="1"/>
        <v>0.38123800000000002</v>
      </c>
      <c r="Z39" s="22"/>
      <c r="AA39" s="22"/>
      <c r="AB39" s="22"/>
      <c r="AC39" s="23"/>
      <c r="AD39" s="25">
        <v>1001</v>
      </c>
      <c r="AE39" s="22"/>
      <c r="AF39" s="22"/>
      <c r="AG39" s="22"/>
      <c r="AH39" s="23"/>
      <c r="AI39" s="21">
        <v>1016</v>
      </c>
      <c r="AJ39" s="22"/>
      <c r="AK39" s="22"/>
      <c r="AL39" s="22"/>
      <c r="AM39" s="23"/>
      <c r="AN39" s="21">
        <v>1101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>
        <v>248</v>
      </c>
      <c r="F40" s="22"/>
      <c r="G40" s="22"/>
      <c r="H40" s="22"/>
      <c r="I40" s="23"/>
      <c r="J40" s="32">
        <f t="shared" ref="J40:J46" si="4">E40*0.0012</f>
        <v>0.29759999999999998</v>
      </c>
      <c r="K40" s="22"/>
      <c r="L40" s="22"/>
      <c r="M40" s="22"/>
      <c r="N40" s="23"/>
      <c r="O40" s="31">
        <v>950</v>
      </c>
      <c r="P40" s="22"/>
      <c r="Q40" s="22"/>
      <c r="R40" s="22"/>
      <c r="S40" s="23"/>
      <c r="T40" s="25">
        <v>248</v>
      </c>
      <c r="U40" s="22"/>
      <c r="V40" s="22"/>
      <c r="W40" s="22"/>
      <c r="X40" s="23"/>
      <c r="Y40" s="24">
        <f t="shared" si="1"/>
        <v>0.33058399999999999</v>
      </c>
      <c r="Z40" s="22"/>
      <c r="AA40" s="22"/>
      <c r="AB40" s="22"/>
      <c r="AC40" s="23"/>
      <c r="AD40" s="25">
        <v>1003</v>
      </c>
      <c r="AE40" s="22"/>
      <c r="AF40" s="22"/>
      <c r="AG40" s="22"/>
      <c r="AH40" s="23"/>
      <c r="AI40" s="21">
        <v>1017</v>
      </c>
      <c r="AJ40" s="22"/>
      <c r="AK40" s="22"/>
      <c r="AL40" s="22"/>
      <c r="AM40" s="23"/>
      <c r="AN40" s="21">
        <v>1102</v>
      </c>
      <c r="AO40" s="22"/>
      <c r="AP40" s="22"/>
      <c r="AQ40" s="22"/>
      <c r="AR40" s="23"/>
      <c r="AS40" s="30" t="s">
        <v>130</v>
      </c>
      <c r="AT40" s="22"/>
      <c r="AU40" s="22"/>
      <c r="AV40" s="22"/>
      <c r="AW40" s="23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>
        <v>282</v>
      </c>
      <c r="F41" s="22"/>
      <c r="G41" s="22"/>
      <c r="H41" s="22"/>
      <c r="I41" s="23"/>
      <c r="J41" s="32">
        <f t="shared" si="4"/>
        <v>0.33839999999999998</v>
      </c>
      <c r="K41" s="22"/>
      <c r="L41" s="22"/>
      <c r="M41" s="22"/>
      <c r="N41" s="23"/>
      <c r="O41" s="31">
        <v>1036</v>
      </c>
      <c r="P41" s="22"/>
      <c r="Q41" s="22"/>
      <c r="R41" s="22"/>
      <c r="S41" s="23"/>
      <c r="T41" s="34">
        <v>282</v>
      </c>
      <c r="U41" s="22"/>
      <c r="V41" s="22"/>
      <c r="W41" s="22"/>
      <c r="X41" s="23"/>
      <c r="Y41" s="24">
        <f t="shared" si="1"/>
        <v>0.37590600000000002</v>
      </c>
      <c r="Z41" s="22"/>
      <c r="AA41" s="22"/>
      <c r="AB41" s="22"/>
      <c r="AC41" s="23"/>
      <c r="AD41" s="25">
        <v>1052</v>
      </c>
      <c r="AE41" s="22"/>
      <c r="AF41" s="22"/>
      <c r="AG41" s="22"/>
      <c r="AH41" s="23"/>
      <c r="AI41" s="21">
        <v>1107</v>
      </c>
      <c r="AJ41" s="22"/>
      <c r="AK41" s="22"/>
      <c r="AL41" s="22"/>
      <c r="AM41" s="23"/>
      <c r="AN41" s="21">
        <v>1147</v>
      </c>
      <c r="AO41" s="22"/>
      <c r="AP41" s="22"/>
      <c r="AQ41" s="22"/>
      <c r="AR41" s="23"/>
      <c r="AS41" s="21"/>
      <c r="AT41" s="22"/>
      <c r="AU41" s="22"/>
      <c r="AV41" s="22"/>
      <c r="AW41" s="23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>
        <v>394</v>
      </c>
      <c r="F42" s="22"/>
      <c r="G42" s="22"/>
      <c r="H42" s="22"/>
      <c r="I42" s="23"/>
      <c r="J42" s="32">
        <f t="shared" si="4"/>
        <v>0.47279999999999994</v>
      </c>
      <c r="K42" s="22"/>
      <c r="L42" s="22"/>
      <c r="M42" s="22"/>
      <c r="N42" s="23"/>
      <c r="O42" s="31">
        <v>1037</v>
      </c>
      <c r="P42" s="22"/>
      <c r="Q42" s="22"/>
      <c r="R42" s="22"/>
      <c r="S42" s="23"/>
      <c r="T42" s="34">
        <v>394</v>
      </c>
      <c r="U42" s="22"/>
      <c r="V42" s="22"/>
      <c r="W42" s="22"/>
      <c r="X42" s="23"/>
      <c r="Y42" s="24">
        <f t="shared" si="1"/>
        <v>0.52520199999999995</v>
      </c>
      <c r="Z42" s="22"/>
      <c r="AA42" s="22"/>
      <c r="AB42" s="22"/>
      <c r="AC42" s="23"/>
      <c r="AD42" s="25">
        <v>1053</v>
      </c>
      <c r="AE42" s="22"/>
      <c r="AF42" s="22"/>
      <c r="AG42" s="22"/>
      <c r="AH42" s="23"/>
      <c r="AI42" s="21">
        <v>1108</v>
      </c>
      <c r="AJ42" s="22"/>
      <c r="AK42" s="22"/>
      <c r="AL42" s="22"/>
      <c r="AM42" s="23"/>
      <c r="AN42" s="21">
        <v>1148</v>
      </c>
      <c r="AO42" s="22"/>
      <c r="AP42" s="22"/>
      <c r="AQ42" s="22"/>
      <c r="AR42" s="23"/>
      <c r="AS42" s="21"/>
      <c r="AT42" s="22"/>
      <c r="AU42" s="22"/>
      <c r="AV42" s="22"/>
      <c r="AW42" s="23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>
        <v>394</v>
      </c>
      <c r="F43" s="22"/>
      <c r="G43" s="22"/>
      <c r="H43" s="22"/>
      <c r="I43" s="23"/>
      <c r="J43" s="32">
        <f t="shared" si="4"/>
        <v>0.47279999999999994</v>
      </c>
      <c r="K43" s="22"/>
      <c r="L43" s="22"/>
      <c r="M43" s="22"/>
      <c r="N43" s="23"/>
      <c r="O43" s="31">
        <v>1039</v>
      </c>
      <c r="P43" s="22"/>
      <c r="Q43" s="22"/>
      <c r="R43" s="22"/>
      <c r="S43" s="23"/>
      <c r="T43" s="34">
        <v>394</v>
      </c>
      <c r="U43" s="22"/>
      <c r="V43" s="22"/>
      <c r="W43" s="22"/>
      <c r="X43" s="23"/>
      <c r="Y43" s="24">
        <f t="shared" si="1"/>
        <v>0.52520199999999995</v>
      </c>
      <c r="Z43" s="22"/>
      <c r="AA43" s="22"/>
      <c r="AB43" s="22"/>
      <c r="AC43" s="23"/>
      <c r="AD43" s="25">
        <v>1054</v>
      </c>
      <c r="AE43" s="22"/>
      <c r="AF43" s="22"/>
      <c r="AG43" s="22"/>
      <c r="AH43" s="23"/>
      <c r="AI43" s="21">
        <v>1109</v>
      </c>
      <c r="AJ43" s="22"/>
      <c r="AK43" s="22"/>
      <c r="AL43" s="22"/>
      <c r="AM43" s="23"/>
      <c r="AN43" s="21">
        <v>1149</v>
      </c>
      <c r="AO43" s="22"/>
      <c r="AP43" s="22"/>
      <c r="AQ43" s="22"/>
      <c r="AR43" s="23"/>
      <c r="AS43" s="21"/>
      <c r="AT43" s="22"/>
      <c r="AU43" s="22"/>
      <c r="AV43" s="22"/>
      <c r="AW43" s="23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>
        <v>432</v>
      </c>
      <c r="F44" s="22"/>
      <c r="G44" s="22"/>
      <c r="H44" s="22"/>
      <c r="I44" s="23"/>
      <c r="J44" s="32">
        <f t="shared" si="4"/>
        <v>0.51839999999999997</v>
      </c>
      <c r="K44" s="22"/>
      <c r="L44" s="22"/>
      <c r="M44" s="22"/>
      <c r="N44" s="23"/>
      <c r="O44" s="31">
        <v>1040</v>
      </c>
      <c r="P44" s="22"/>
      <c r="Q44" s="22"/>
      <c r="R44" s="22"/>
      <c r="S44" s="23"/>
      <c r="T44" s="34">
        <v>432</v>
      </c>
      <c r="U44" s="22"/>
      <c r="V44" s="22"/>
      <c r="W44" s="22"/>
      <c r="X44" s="23"/>
      <c r="Y44" s="24">
        <f t="shared" si="1"/>
        <v>0.57585600000000003</v>
      </c>
      <c r="Z44" s="22"/>
      <c r="AA44" s="22"/>
      <c r="AB44" s="22"/>
      <c r="AC44" s="23"/>
      <c r="AD44" s="25">
        <v>1055</v>
      </c>
      <c r="AE44" s="22"/>
      <c r="AF44" s="22"/>
      <c r="AG44" s="22"/>
      <c r="AH44" s="23"/>
      <c r="AI44" s="21">
        <v>1110</v>
      </c>
      <c r="AJ44" s="22"/>
      <c r="AK44" s="22"/>
      <c r="AL44" s="22"/>
      <c r="AM44" s="23"/>
      <c r="AN44" s="21">
        <v>1150</v>
      </c>
      <c r="AO44" s="22"/>
      <c r="AP44" s="22"/>
      <c r="AQ44" s="22"/>
      <c r="AR44" s="23"/>
      <c r="AS44" s="21"/>
      <c r="AT44" s="22"/>
      <c r="AU44" s="22"/>
      <c r="AV44" s="22"/>
      <c r="AW44" s="23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>
        <v>437</v>
      </c>
      <c r="F45" s="22"/>
      <c r="G45" s="22"/>
      <c r="H45" s="22"/>
      <c r="I45" s="23"/>
      <c r="J45" s="32">
        <f t="shared" si="4"/>
        <v>0.52439999999999998</v>
      </c>
      <c r="K45" s="22"/>
      <c r="L45" s="22"/>
      <c r="M45" s="22"/>
      <c r="N45" s="23"/>
      <c r="O45" s="31">
        <v>1042</v>
      </c>
      <c r="P45" s="22"/>
      <c r="Q45" s="22"/>
      <c r="R45" s="22"/>
      <c r="S45" s="23"/>
      <c r="T45" s="34">
        <v>437</v>
      </c>
      <c r="U45" s="22"/>
      <c r="V45" s="22"/>
      <c r="W45" s="22"/>
      <c r="X45" s="23"/>
      <c r="Y45" s="24">
        <f t="shared" si="1"/>
        <v>0.58252099999999996</v>
      </c>
      <c r="Z45" s="22"/>
      <c r="AA45" s="22"/>
      <c r="AB45" s="22"/>
      <c r="AC45" s="23"/>
      <c r="AD45" s="25">
        <v>1056</v>
      </c>
      <c r="AE45" s="22"/>
      <c r="AF45" s="22"/>
      <c r="AG45" s="22"/>
      <c r="AH45" s="23"/>
      <c r="AI45" s="21">
        <v>1111</v>
      </c>
      <c r="AJ45" s="22"/>
      <c r="AK45" s="22"/>
      <c r="AL45" s="22"/>
      <c r="AM45" s="23"/>
      <c r="AN45" s="21">
        <v>1151</v>
      </c>
      <c r="AO45" s="22"/>
      <c r="AP45" s="22"/>
      <c r="AQ45" s="22"/>
      <c r="AR45" s="23"/>
      <c r="AS45" s="21"/>
      <c r="AT45" s="22"/>
      <c r="AU45" s="22"/>
      <c r="AV45" s="22"/>
      <c r="AW45" s="23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>
        <v>254</v>
      </c>
      <c r="F46" s="22"/>
      <c r="G46" s="22"/>
      <c r="H46" s="22"/>
      <c r="I46" s="23"/>
      <c r="J46" s="32">
        <f t="shared" si="4"/>
        <v>0.30479999999999996</v>
      </c>
      <c r="K46" s="22"/>
      <c r="L46" s="22"/>
      <c r="M46" s="22"/>
      <c r="N46" s="23"/>
      <c r="O46" s="31">
        <v>1140</v>
      </c>
      <c r="P46" s="22"/>
      <c r="Q46" s="22"/>
      <c r="R46" s="22"/>
      <c r="S46" s="23"/>
      <c r="T46" s="25">
        <v>254</v>
      </c>
      <c r="U46" s="22"/>
      <c r="V46" s="22"/>
      <c r="W46" s="22"/>
      <c r="X46" s="23"/>
      <c r="Y46" s="24">
        <f t="shared" si="1"/>
        <v>0.33858199999999999</v>
      </c>
      <c r="Z46" s="22"/>
      <c r="AA46" s="22"/>
      <c r="AB46" s="22"/>
      <c r="AC46" s="23"/>
      <c r="AD46" s="25">
        <v>1204</v>
      </c>
      <c r="AE46" s="22"/>
      <c r="AF46" s="22"/>
      <c r="AG46" s="22"/>
      <c r="AH46" s="23"/>
      <c r="AI46" s="21">
        <v>1219</v>
      </c>
      <c r="AJ46" s="22"/>
      <c r="AK46" s="22"/>
      <c r="AL46" s="22"/>
      <c r="AM46" s="23"/>
      <c r="AN46" s="21">
        <v>1259</v>
      </c>
      <c r="AO46" s="22"/>
      <c r="AP46" s="22"/>
      <c r="AQ46" s="22"/>
      <c r="AR46" s="23"/>
      <c r="AS46" s="21"/>
      <c r="AT46" s="22"/>
      <c r="AU46" s="22"/>
      <c r="AV46" s="22"/>
      <c r="AW46" s="23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414">
    <mergeCell ref="AI38:AM38"/>
    <mergeCell ref="AD37:AH37"/>
    <mergeCell ref="AN25:AR25"/>
    <mergeCell ref="T26:X26"/>
    <mergeCell ref="Y26:AC26"/>
    <mergeCell ref="AD26:AH26"/>
    <mergeCell ref="AI26:AM26"/>
    <mergeCell ref="AD27:AH27"/>
    <mergeCell ref="T27:X27"/>
    <mergeCell ref="Y27:AC27"/>
    <mergeCell ref="T28:X28"/>
    <mergeCell ref="Y28:AC28"/>
    <mergeCell ref="T30:X30"/>
    <mergeCell ref="Y30:AC30"/>
    <mergeCell ref="AD30:AH30"/>
    <mergeCell ref="E26:I26"/>
    <mergeCell ref="J26:N26"/>
    <mergeCell ref="O26:S26"/>
    <mergeCell ref="O37:S37"/>
    <mergeCell ref="T37:X37"/>
    <mergeCell ref="Y37:AC37"/>
    <mergeCell ref="E38:I38"/>
    <mergeCell ref="J38:N38"/>
    <mergeCell ref="O38:S38"/>
    <mergeCell ref="E30:I30"/>
    <mergeCell ref="J30:N30"/>
    <mergeCell ref="O30:S30"/>
    <mergeCell ref="AI39:AM39"/>
    <mergeCell ref="E37:I37"/>
    <mergeCell ref="J37:N37"/>
    <mergeCell ref="AS25:AW25"/>
    <mergeCell ref="AS24:AW24"/>
    <mergeCell ref="AN24:AR24"/>
    <mergeCell ref="E25:I25"/>
    <mergeCell ref="J25:N25"/>
    <mergeCell ref="AI36:AM36"/>
    <mergeCell ref="AI35:AM35"/>
    <mergeCell ref="AI34:AM34"/>
    <mergeCell ref="AI33:AM33"/>
    <mergeCell ref="O25:S25"/>
    <mergeCell ref="E31:I31"/>
    <mergeCell ref="J31:N31"/>
    <mergeCell ref="O31:S31"/>
    <mergeCell ref="AI31:AM31"/>
    <mergeCell ref="AD31:AH31"/>
    <mergeCell ref="T31:X31"/>
    <mergeCell ref="Y31:AC31"/>
    <mergeCell ref="T32:X32"/>
    <mergeCell ref="Y32:AC32"/>
    <mergeCell ref="AD32:AH32"/>
    <mergeCell ref="AI32:AM32"/>
    <mergeCell ref="E23:I23"/>
    <mergeCell ref="J23:N23"/>
    <mergeCell ref="O23:S23"/>
    <mergeCell ref="T23:X23"/>
    <mergeCell ref="Y23:AC23"/>
    <mergeCell ref="AD23:AH23"/>
    <mergeCell ref="AI23:AM23"/>
    <mergeCell ref="E39:I39"/>
    <mergeCell ref="J39:N39"/>
    <mergeCell ref="O39:S39"/>
    <mergeCell ref="E24:I24"/>
    <mergeCell ref="J24:N24"/>
    <mergeCell ref="O24:S24"/>
    <mergeCell ref="AI24:AM24"/>
    <mergeCell ref="AD24:AH24"/>
    <mergeCell ref="T24:X24"/>
    <mergeCell ref="Y24:AC24"/>
    <mergeCell ref="T25:X25"/>
    <mergeCell ref="Y25:AC25"/>
    <mergeCell ref="AD25:AH25"/>
    <mergeCell ref="AI25:AM25"/>
    <mergeCell ref="AI37:AM37"/>
    <mergeCell ref="AD38:AH38"/>
    <mergeCell ref="T38:X38"/>
    <mergeCell ref="AI30:AM30"/>
    <mergeCell ref="E32:I32"/>
    <mergeCell ref="J32:N32"/>
    <mergeCell ref="O32:S32"/>
    <mergeCell ref="AD45:AH45"/>
    <mergeCell ref="T45:X45"/>
    <mergeCell ref="Y45:AC45"/>
    <mergeCell ref="AN32:AR32"/>
    <mergeCell ref="AS32:AW32"/>
    <mergeCell ref="AS31:AW31"/>
    <mergeCell ref="AN31:AR31"/>
    <mergeCell ref="AN30:AR30"/>
    <mergeCell ref="AS30:AW30"/>
    <mergeCell ref="AN39:AR39"/>
    <mergeCell ref="AS39:AW39"/>
    <mergeCell ref="AS38:AW38"/>
    <mergeCell ref="AN38:AR38"/>
    <mergeCell ref="AN37:AR37"/>
    <mergeCell ref="AS37:AW37"/>
    <mergeCell ref="AS45:AW45"/>
    <mergeCell ref="AN45:AR45"/>
    <mergeCell ref="AN33:AR33"/>
    <mergeCell ref="AS33:AW33"/>
    <mergeCell ref="AN36:AR36"/>
    <mergeCell ref="AS46:AW46"/>
    <mergeCell ref="T46:X46"/>
    <mergeCell ref="Y46:AC46"/>
    <mergeCell ref="AN44:AR44"/>
    <mergeCell ref="AS44:AW44"/>
    <mergeCell ref="E44:I44"/>
    <mergeCell ref="J44:N44"/>
    <mergeCell ref="O44:S44"/>
    <mergeCell ref="T44:X44"/>
    <mergeCell ref="Y44:AC44"/>
    <mergeCell ref="AD44:AH44"/>
    <mergeCell ref="AI44:AM44"/>
    <mergeCell ref="AD46:AH46"/>
    <mergeCell ref="E45:I45"/>
    <mergeCell ref="J45:N45"/>
    <mergeCell ref="O45:S45"/>
    <mergeCell ref="AI45:AM45"/>
    <mergeCell ref="AI46:AM46"/>
    <mergeCell ref="AN46:AR46"/>
    <mergeCell ref="E46:I46"/>
    <mergeCell ref="J46:N46"/>
    <mergeCell ref="O46:S46"/>
    <mergeCell ref="AS36:AW36"/>
    <mergeCell ref="AN35:AR35"/>
    <mergeCell ref="AS35:AW35"/>
    <mergeCell ref="AS34:AW34"/>
    <mergeCell ref="AN34:AR34"/>
    <mergeCell ref="AN26:AR26"/>
    <mergeCell ref="AS26:AW26"/>
    <mergeCell ref="E40:I40"/>
    <mergeCell ref="J40:N40"/>
    <mergeCell ref="O40:S40"/>
    <mergeCell ref="T40:X40"/>
    <mergeCell ref="Y40:AC40"/>
    <mergeCell ref="AD40:AH40"/>
    <mergeCell ref="AI40:AM40"/>
    <mergeCell ref="AN40:AR40"/>
    <mergeCell ref="AS40:AW40"/>
    <mergeCell ref="J34:N34"/>
    <mergeCell ref="O34:S34"/>
    <mergeCell ref="AD34:AH34"/>
    <mergeCell ref="T34:X34"/>
    <mergeCell ref="Y34:AC34"/>
    <mergeCell ref="T35:X35"/>
    <mergeCell ref="Y35:AC35"/>
    <mergeCell ref="E35:I35"/>
    <mergeCell ref="AS3:AW3"/>
    <mergeCell ref="E3:I3"/>
    <mergeCell ref="J3:N3"/>
    <mergeCell ref="O3:S3"/>
    <mergeCell ref="T3:X3"/>
    <mergeCell ref="AI6:AM6"/>
    <mergeCell ref="AN6:AR6"/>
    <mergeCell ref="AI5:AM5"/>
    <mergeCell ref="AN5:AR5"/>
    <mergeCell ref="J4:N4"/>
    <mergeCell ref="O4:S4"/>
    <mergeCell ref="AD4:AH4"/>
    <mergeCell ref="T4:X4"/>
    <mergeCell ref="Y4:AC4"/>
    <mergeCell ref="E5:I5"/>
    <mergeCell ref="J5:N5"/>
    <mergeCell ref="O5:S5"/>
    <mergeCell ref="T5:X5"/>
    <mergeCell ref="Y5:AC5"/>
    <mergeCell ref="AD5:AH5"/>
    <mergeCell ref="Y3:AC3"/>
    <mergeCell ref="AI4:AM4"/>
    <mergeCell ref="AI3:AM3"/>
    <mergeCell ref="AS6:AW6"/>
    <mergeCell ref="AI1:AM1"/>
    <mergeCell ref="AN1:AR1"/>
    <mergeCell ref="E1:I1"/>
    <mergeCell ref="J1:N1"/>
    <mergeCell ref="O1:S1"/>
    <mergeCell ref="T1:X1"/>
    <mergeCell ref="Y1:AC1"/>
    <mergeCell ref="AD1:AH1"/>
    <mergeCell ref="AS1:AW1"/>
    <mergeCell ref="AI2:AM2"/>
    <mergeCell ref="AN2:AR2"/>
    <mergeCell ref="AS5:AW5"/>
    <mergeCell ref="AS2:AW2"/>
    <mergeCell ref="E4:I4"/>
    <mergeCell ref="AN4:AR4"/>
    <mergeCell ref="AS4:AW4"/>
    <mergeCell ref="AN3:AR3"/>
    <mergeCell ref="T8:X8"/>
    <mergeCell ref="Y8:AC8"/>
    <mergeCell ref="AN8:AR8"/>
    <mergeCell ref="AS8:AW8"/>
    <mergeCell ref="E8:I8"/>
    <mergeCell ref="J8:N8"/>
    <mergeCell ref="O8:S8"/>
    <mergeCell ref="AI8:AM8"/>
    <mergeCell ref="E6:I6"/>
    <mergeCell ref="J6:N6"/>
    <mergeCell ref="O6:S6"/>
    <mergeCell ref="AD8:AH8"/>
    <mergeCell ref="E7:I7"/>
    <mergeCell ref="J7:N7"/>
    <mergeCell ref="O7:S7"/>
    <mergeCell ref="T7:X7"/>
    <mergeCell ref="Y7:AC7"/>
    <mergeCell ref="T6:X6"/>
    <mergeCell ref="Y6:AC6"/>
    <mergeCell ref="AD6:AH6"/>
    <mergeCell ref="AD7:AH7"/>
    <mergeCell ref="AI7:AM7"/>
    <mergeCell ref="AN7:AR7"/>
    <mergeCell ref="AS7:AW7"/>
    <mergeCell ref="E9:I9"/>
    <mergeCell ref="J9:N9"/>
    <mergeCell ref="O9:S9"/>
    <mergeCell ref="T9:X9"/>
    <mergeCell ref="Y9:AC9"/>
    <mergeCell ref="AI10:AM10"/>
    <mergeCell ref="AD9:AH9"/>
    <mergeCell ref="AI9:AM9"/>
    <mergeCell ref="AN9:AR9"/>
    <mergeCell ref="J11:N11"/>
    <mergeCell ref="AS11:AW11"/>
    <mergeCell ref="Y10:AC10"/>
    <mergeCell ref="Y11:AC11"/>
    <mergeCell ref="AD10:AH10"/>
    <mergeCell ref="AD11:AH11"/>
    <mergeCell ref="E10:I10"/>
    <mergeCell ref="J10:N10"/>
    <mergeCell ref="O10:S10"/>
    <mergeCell ref="E16:I16"/>
    <mergeCell ref="J16:N16"/>
    <mergeCell ref="O16:S16"/>
    <mergeCell ref="T16:X16"/>
    <mergeCell ref="Y16:AC16"/>
    <mergeCell ref="AN17:AR17"/>
    <mergeCell ref="E13:I13"/>
    <mergeCell ref="J13:N13"/>
    <mergeCell ref="O13:S13"/>
    <mergeCell ref="AI13:AM13"/>
    <mergeCell ref="E15:I15"/>
    <mergeCell ref="J15:N15"/>
    <mergeCell ref="O15:S15"/>
    <mergeCell ref="T15:X15"/>
    <mergeCell ref="Y15:AC15"/>
    <mergeCell ref="AD15:AH15"/>
    <mergeCell ref="AI15:AM15"/>
    <mergeCell ref="E14:I14"/>
    <mergeCell ref="J14:N14"/>
    <mergeCell ref="O14:S14"/>
    <mergeCell ref="AN10:AR10"/>
    <mergeCell ref="E17:I17"/>
    <mergeCell ref="J17:N17"/>
    <mergeCell ref="O17:S17"/>
    <mergeCell ref="AD17:AH17"/>
    <mergeCell ref="AI17:AM17"/>
    <mergeCell ref="T17:X17"/>
    <mergeCell ref="Y17:AC17"/>
    <mergeCell ref="E18:I18"/>
    <mergeCell ref="J18:N18"/>
    <mergeCell ref="O18:S18"/>
    <mergeCell ref="T18:X18"/>
    <mergeCell ref="Y18:AC18"/>
    <mergeCell ref="AD18:AH18"/>
    <mergeCell ref="AI18:AM18"/>
    <mergeCell ref="E2:I2"/>
    <mergeCell ref="J2:N2"/>
    <mergeCell ref="O2:S2"/>
    <mergeCell ref="T2:X2"/>
    <mergeCell ref="Y2:AC2"/>
    <mergeCell ref="AD2:AH2"/>
    <mergeCell ref="AD3:AH3"/>
    <mergeCell ref="AN12:AR12"/>
    <mergeCell ref="AS12:AW12"/>
    <mergeCell ref="E12:I12"/>
    <mergeCell ref="J12:N12"/>
    <mergeCell ref="O12:S12"/>
    <mergeCell ref="T12:X12"/>
    <mergeCell ref="Y12:AC12"/>
    <mergeCell ref="AD12:AH12"/>
    <mergeCell ref="AI12:AM12"/>
    <mergeCell ref="AS9:AW9"/>
    <mergeCell ref="AS10:AW10"/>
    <mergeCell ref="O11:S11"/>
    <mergeCell ref="T10:X10"/>
    <mergeCell ref="T11:X11"/>
    <mergeCell ref="AI11:AM11"/>
    <mergeCell ref="AN11:AR11"/>
    <mergeCell ref="E11:I11"/>
    <mergeCell ref="AS21:AW21"/>
    <mergeCell ref="AS20:AW20"/>
    <mergeCell ref="AN20:AR20"/>
    <mergeCell ref="AN15:AR15"/>
    <mergeCell ref="AS15:AW15"/>
    <mergeCell ref="AD13:AH13"/>
    <mergeCell ref="T13:X13"/>
    <mergeCell ref="Y13:AC13"/>
    <mergeCell ref="T14:X14"/>
    <mergeCell ref="Y14:AC14"/>
    <mergeCell ref="AD14:AH14"/>
    <mergeCell ref="AI14:AM14"/>
    <mergeCell ref="AN14:AR14"/>
    <mergeCell ref="AS14:AW14"/>
    <mergeCell ref="AS13:AW13"/>
    <mergeCell ref="AN13:AR13"/>
    <mergeCell ref="AD16:AH16"/>
    <mergeCell ref="AI16:AM16"/>
    <mergeCell ref="AN16:AR16"/>
    <mergeCell ref="AS16:AW16"/>
    <mergeCell ref="AS17:AW17"/>
    <mergeCell ref="AS18:AW18"/>
    <mergeCell ref="AN18:AR18"/>
    <mergeCell ref="AS19:AW19"/>
    <mergeCell ref="E19:I19"/>
    <mergeCell ref="J19:N19"/>
    <mergeCell ref="O19:S19"/>
    <mergeCell ref="T19:X19"/>
    <mergeCell ref="Y19:AC19"/>
    <mergeCell ref="AD19:AH19"/>
    <mergeCell ref="AI19:AM19"/>
    <mergeCell ref="E20:I20"/>
    <mergeCell ref="J20:N20"/>
    <mergeCell ref="O20:S20"/>
    <mergeCell ref="AI20:AM20"/>
    <mergeCell ref="AD20:AH20"/>
    <mergeCell ref="T20:X20"/>
    <mergeCell ref="Y20:AC20"/>
    <mergeCell ref="E22:I22"/>
    <mergeCell ref="J22:N22"/>
    <mergeCell ref="O22:S22"/>
    <mergeCell ref="T22:X22"/>
    <mergeCell ref="Y22:AC22"/>
    <mergeCell ref="E21:I21"/>
    <mergeCell ref="J21:N21"/>
    <mergeCell ref="O21:S21"/>
    <mergeCell ref="AN19:AR19"/>
    <mergeCell ref="T21:X21"/>
    <mergeCell ref="Y21:AC21"/>
    <mergeCell ref="AD21:AH21"/>
    <mergeCell ref="AI21:AM21"/>
    <mergeCell ref="AN21:AR21"/>
    <mergeCell ref="AD28:AH28"/>
    <mergeCell ref="AI28:AM28"/>
    <mergeCell ref="AN28:AR28"/>
    <mergeCell ref="AS28:AW28"/>
    <mergeCell ref="AS27:AW27"/>
    <mergeCell ref="AN27:AR27"/>
    <mergeCell ref="AD22:AH22"/>
    <mergeCell ref="AI22:AM22"/>
    <mergeCell ref="AN22:AR22"/>
    <mergeCell ref="AS22:AW22"/>
    <mergeCell ref="AN23:AR23"/>
    <mergeCell ref="AS23:AW23"/>
    <mergeCell ref="E28:I28"/>
    <mergeCell ref="J28:N28"/>
    <mergeCell ref="O28:S28"/>
    <mergeCell ref="E27:I27"/>
    <mergeCell ref="J27:N27"/>
    <mergeCell ref="O27:S27"/>
    <mergeCell ref="AI27:AM27"/>
    <mergeCell ref="AS41:AW41"/>
    <mergeCell ref="AN41:AR41"/>
    <mergeCell ref="AD29:AH29"/>
    <mergeCell ref="AI29:AM29"/>
    <mergeCell ref="AN29:AR29"/>
    <mergeCell ref="AS29:AW29"/>
    <mergeCell ref="E29:I29"/>
    <mergeCell ref="J29:N29"/>
    <mergeCell ref="O29:S29"/>
    <mergeCell ref="T29:X29"/>
    <mergeCell ref="Y29:AC29"/>
    <mergeCell ref="E36:I36"/>
    <mergeCell ref="J36:N36"/>
    <mergeCell ref="O36:S36"/>
    <mergeCell ref="T36:X36"/>
    <mergeCell ref="Y36:AC36"/>
    <mergeCell ref="AD36:AH36"/>
    <mergeCell ref="E33:I33"/>
    <mergeCell ref="J33:N33"/>
    <mergeCell ref="O33:S33"/>
    <mergeCell ref="T33:X33"/>
    <mergeCell ref="Y33:AC33"/>
    <mergeCell ref="AD33:AH33"/>
    <mergeCell ref="E34:I34"/>
    <mergeCell ref="E41:I41"/>
    <mergeCell ref="J41:N41"/>
    <mergeCell ref="O41:S41"/>
    <mergeCell ref="J35:N35"/>
    <mergeCell ref="O35:S35"/>
    <mergeCell ref="AD35:AH35"/>
    <mergeCell ref="Y38:AC38"/>
    <mergeCell ref="T39:X39"/>
    <mergeCell ref="Y39:AC39"/>
    <mergeCell ref="AD39:AH39"/>
    <mergeCell ref="AI41:AM41"/>
    <mergeCell ref="AD43:AH43"/>
    <mergeCell ref="AI43:AM43"/>
    <mergeCell ref="AD41:AH41"/>
    <mergeCell ref="T41:X41"/>
    <mergeCell ref="Y41:AC41"/>
    <mergeCell ref="T42:X42"/>
    <mergeCell ref="Y42:AC42"/>
    <mergeCell ref="AD42:AH42"/>
    <mergeCell ref="AI42:AM42"/>
    <mergeCell ref="AN43:AR43"/>
    <mergeCell ref="AS43:AW43"/>
    <mergeCell ref="E43:I43"/>
    <mergeCell ref="J43:N43"/>
    <mergeCell ref="O43:S43"/>
    <mergeCell ref="T43:X43"/>
    <mergeCell ref="Y43:AC43"/>
    <mergeCell ref="E42:I42"/>
    <mergeCell ref="J42:N42"/>
    <mergeCell ref="O42:S42"/>
    <mergeCell ref="AN42:AR42"/>
    <mergeCell ref="AS42:AW4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D85C6"/>
    <outlinePr summaryBelow="0" summaryRight="0"/>
    <pageSetUpPr fitToPage="1"/>
  </sheetPr>
  <dimension ref="A1:GB71"/>
  <sheetViews>
    <sheetView showGridLines="0" topLeftCell="B1" workbookViewId="0">
      <selection activeCell="AN43" sqref="AN43:AR43"/>
    </sheetView>
  </sheetViews>
  <sheetFormatPr baseColWidth="10" defaultColWidth="13.4140625" defaultRowHeight="15" customHeight="1" x14ac:dyDescent="0.35"/>
  <cols>
    <col min="1" max="1" width="21.6640625" customWidth="1"/>
    <col min="2" max="2" width="30.08203125" customWidth="1"/>
    <col min="3" max="3" width="10.75" customWidth="1"/>
    <col min="4" max="4" width="15.75" customWidth="1"/>
    <col min="5" max="18" width="3" customWidth="1"/>
    <col min="19" max="19" width="25.75" customWidth="1"/>
    <col min="20" max="23" width="3" customWidth="1"/>
    <col min="24" max="24" width="2.75" customWidth="1"/>
    <col min="25" max="78" width="3" customWidth="1"/>
    <col min="79" max="79" width="12.25" customWidth="1"/>
    <col min="8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440</v>
      </c>
      <c r="F2" s="22"/>
      <c r="G2" s="22"/>
      <c r="H2" s="22"/>
      <c r="I2" s="23"/>
      <c r="J2" s="32">
        <f t="shared" ref="J2:J17" si="0">E2*0.00125</f>
        <v>0.55000000000000004</v>
      </c>
      <c r="K2" s="22"/>
      <c r="L2" s="22"/>
      <c r="M2" s="22"/>
      <c r="N2" s="23"/>
      <c r="O2" s="32">
        <v>1121</v>
      </c>
      <c r="P2" s="22"/>
      <c r="Q2" s="22"/>
      <c r="R2" s="22"/>
      <c r="S2" s="23"/>
      <c r="T2" s="24">
        <v>440</v>
      </c>
      <c r="U2" s="22"/>
      <c r="V2" s="22"/>
      <c r="W2" s="22"/>
      <c r="X2" s="23"/>
      <c r="Y2" s="24">
        <f t="shared" ref="Y2:Y46" si="1">T2*0.001333</f>
        <v>0.58652000000000004</v>
      </c>
      <c r="Z2" s="22"/>
      <c r="AA2" s="22"/>
      <c r="AB2" s="22"/>
      <c r="AC2" s="23"/>
      <c r="AD2" s="24">
        <v>1141</v>
      </c>
      <c r="AE2" s="22"/>
      <c r="AF2" s="22"/>
      <c r="AG2" s="22"/>
      <c r="AH2" s="23"/>
      <c r="AI2" s="26">
        <v>1157</v>
      </c>
      <c r="AJ2" s="22"/>
      <c r="AK2" s="22"/>
      <c r="AL2" s="22"/>
      <c r="AM2" s="23"/>
      <c r="AN2" s="26">
        <v>1237</v>
      </c>
      <c r="AO2" s="22"/>
      <c r="AP2" s="22"/>
      <c r="AQ2" s="22"/>
      <c r="AR2" s="23"/>
      <c r="AS2" s="26"/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448</v>
      </c>
      <c r="F3" s="22"/>
      <c r="G3" s="22"/>
      <c r="H3" s="22"/>
      <c r="I3" s="23"/>
      <c r="J3" s="32">
        <f t="shared" si="0"/>
        <v>0.56000000000000005</v>
      </c>
      <c r="K3" s="22"/>
      <c r="L3" s="22"/>
      <c r="M3" s="22"/>
      <c r="N3" s="23"/>
      <c r="O3" s="32">
        <v>1217</v>
      </c>
      <c r="P3" s="22"/>
      <c r="Q3" s="22"/>
      <c r="R3" s="22"/>
      <c r="S3" s="23"/>
      <c r="T3" s="36">
        <v>448</v>
      </c>
      <c r="U3" s="22"/>
      <c r="V3" s="22"/>
      <c r="W3" s="22"/>
      <c r="X3" s="23"/>
      <c r="Y3" s="24">
        <f t="shared" si="1"/>
        <v>0.59718399999999994</v>
      </c>
      <c r="Z3" s="22"/>
      <c r="AA3" s="22"/>
      <c r="AB3" s="22"/>
      <c r="AC3" s="23"/>
      <c r="AD3" s="24">
        <v>1239</v>
      </c>
      <c r="AE3" s="22"/>
      <c r="AF3" s="22"/>
      <c r="AG3" s="22"/>
      <c r="AH3" s="23"/>
      <c r="AI3" s="26">
        <v>1307</v>
      </c>
      <c r="AJ3" s="22"/>
      <c r="AK3" s="22"/>
      <c r="AL3" s="22"/>
      <c r="AM3" s="23"/>
      <c r="AN3" s="26">
        <v>1347</v>
      </c>
      <c r="AO3" s="22"/>
      <c r="AP3" s="22"/>
      <c r="AQ3" s="22"/>
      <c r="AR3" s="23"/>
      <c r="AS3" s="26"/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435</v>
      </c>
      <c r="F4" s="22"/>
      <c r="G4" s="22"/>
      <c r="H4" s="22"/>
      <c r="I4" s="23"/>
      <c r="J4" s="32">
        <f t="shared" si="0"/>
        <v>0.54375000000000007</v>
      </c>
      <c r="K4" s="22"/>
      <c r="L4" s="22"/>
      <c r="M4" s="22"/>
      <c r="N4" s="23"/>
      <c r="O4" s="32">
        <v>1218</v>
      </c>
      <c r="P4" s="22"/>
      <c r="Q4" s="22"/>
      <c r="R4" s="22"/>
      <c r="S4" s="23"/>
      <c r="T4" s="36">
        <v>435</v>
      </c>
      <c r="U4" s="22"/>
      <c r="V4" s="22"/>
      <c r="W4" s="22"/>
      <c r="X4" s="23"/>
      <c r="Y4" s="24">
        <f t="shared" si="1"/>
        <v>0.57985500000000001</v>
      </c>
      <c r="Z4" s="22"/>
      <c r="AA4" s="22"/>
      <c r="AB4" s="22"/>
      <c r="AC4" s="23"/>
      <c r="AD4" s="24">
        <v>1241</v>
      </c>
      <c r="AE4" s="22"/>
      <c r="AF4" s="22"/>
      <c r="AG4" s="22"/>
      <c r="AH4" s="23"/>
      <c r="AI4" s="26">
        <v>1308</v>
      </c>
      <c r="AJ4" s="22"/>
      <c r="AK4" s="22"/>
      <c r="AL4" s="22"/>
      <c r="AM4" s="23"/>
      <c r="AN4" s="26">
        <v>1348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438</v>
      </c>
      <c r="F5" s="22"/>
      <c r="G5" s="22"/>
      <c r="H5" s="22"/>
      <c r="I5" s="23"/>
      <c r="J5" s="32">
        <f t="shared" si="0"/>
        <v>0.54749999999999999</v>
      </c>
      <c r="K5" s="22"/>
      <c r="L5" s="22"/>
      <c r="M5" s="22"/>
      <c r="N5" s="23"/>
      <c r="O5" s="32">
        <v>1221</v>
      </c>
      <c r="P5" s="22"/>
      <c r="Q5" s="22"/>
      <c r="R5" s="22"/>
      <c r="S5" s="23"/>
      <c r="T5" s="36">
        <v>438</v>
      </c>
      <c r="U5" s="22"/>
      <c r="V5" s="22"/>
      <c r="W5" s="22"/>
      <c r="X5" s="23"/>
      <c r="Y5" s="24">
        <f t="shared" si="1"/>
        <v>0.58385399999999998</v>
      </c>
      <c r="Z5" s="22"/>
      <c r="AA5" s="22"/>
      <c r="AB5" s="22"/>
      <c r="AC5" s="23"/>
      <c r="AD5" s="24">
        <v>1242</v>
      </c>
      <c r="AE5" s="22"/>
      <c r="AF5" s="22"/>
      <c r="AG5" s="22"/>
      <c r="AH5" s="23"/>
      <c r="AI5" s="26">
        <v>1309</v>
      </c>
      <c r="AJ5" s="22"/>
      <c r="AK5" s="22"/>
      <c r="AL5" s="22"/>
      <c r="AM5" s="23"/>
      <c r="AN5" s="26">
        <v>1349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467</v>
      </c>
      <c r="F6" s="22"/>
      <c r="G6" s="22"/>
      <c r="H6" s="22"/>
      <c r="I6" s="23"/>
      <c r="J6" s="32">
        <f t="shared" si="0"/>
        <v>0.58374999999999999</v>
      </c>
      <c r="K6" s="22"/>
      <c r="L6" s="22"/>
      <c r="M6" s="22"/>
      <c r="N6" s="23"/>
      <c r="O6" s="32">
        <v>1222</v>
      </c>
      <c r="P6" s="22"/>
      <c r="Q6" s="22"/>
      <c r="R6" s="22"/>
      <c r="S6" s="23"/>
      <c r="T6" s="24">
        <v>467</v>
      </c>
      <c r="U6" s="22"/>
      <c r="V6" s="22"/>
      <c r="W6" s="22"/>
      <c r="X6" s="23"/>
      <c r="Y6" s="24">
        <f t="shared" si="1"/>
        <v>0.62251100000000004</v>
      </c>
      <c r="Z6" s="22"/>
      <c r="AA6" s="22"/>
      <c r="AB6" s="22"/>
      <c r="AC6" s="23"/>
      <c r="AD6" s="24">
        <v>1245</v>
      </c>
      <c r="AE6" s="22"/>
      <c r="AF6" s="22"/>
      <c r="AG6" s="22"/>
      <c r="AH6" s="23"/>
      <c r="AI6" s="26">
        <v>1310</v>
      </c>
      <c r="AJ6" s="22"/>
      <c r="AK6" s="22"/>
      <c r="AL6" s="22"/>
      <c r="AM6" s="23"/>
      <c r="AN6" s="26">
        <v>1350</v>
      </c>
      <c r="AO6" s="22"/>
      <c r="AP6" s="22"/>
      <c r="AQ6" s="22"/>
      <c r="AR6" s="23"/>
      <c r="AS6" s="26"/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421</v>
      </c>
      <c r="F7" s="22"/>
      <c r="G7" s="22"/>
      <c r="H7" s="22"/>
      <c r="I7" s="23"/>
      <c r="J7" s="32">
        <f t="shared" si="0"/>
        <v>0.52625</v>
      </c>
      <c r="K7" s="22"/>
      <c r="L7" s="22"/>
      <c r="M7" s="22"/>
      <c r="N7" s="23"/>
      <c r="O7" s="32">
        <v>1223</v>
      </c>
      <c r="P7" s="22"/>
      <c r="Q7" s="22"/>
      <c r="R7" s="22"/>
      <c r="S7" s="23"/>
      <c r="T7" s="24">
        <v>421</v>
      </c>
      <c r="U7" s="22"/>
      <c r="V7" s="22"/>
      <c r="W7" s="22"/>
      <c r="X7" s="23"/>
      <c r="Y7" s="24">
        <f t="shared" si="1"/>
        <v>0.56119299999999994</v>
      </c>
      <c r="Z7" s="22"/>
      <c r="AA7" s="22"/>
      <c r="AB7" s="22"/>
      <c r="AC7" s="23"/>
      <c r="AD7" s="24">
        <v>1247</v>
      </c>
      <c r="AE7" s="22"/>
      <c r="AF7" s="22"/>
      <c r="AG7" s="22"/>
      <c r="AH7" s="23"/>
      <c r="AI7" s="26">
        <v>1311</v>
      </c>
      <c r="AJ7" s="22"/>
      <c r="AK7" s="22"/>
      <c r="AL7" s="22"/>
      <c r="AM7" s="23"/>
      <c r="AN7" s="26">
        <v>1351</v>
      </c>
      <c r="AO7" s="22"/>
      <c r="AP7" s="22"/>
      <c r="AQ7" s="22"/>
      <c r="AR7" s="23"/>
      <c r="AS7" s="26"/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441</v>
      </c>
      <c r="F8" s="22"/>
      <c r="G8" s="22"/>
      <c r="H8" s="22"/>
      <c r="I8" s="23"/>
      <c r="J8" s="32">
        <f t="shared" si="0"/>
        <v>0.55125000000000002</v>
      </c>
      <c r="K8" s="22"/>
      <c r="L8" s="22"/>
      <c r="M8" s="22"/>
      <c r="N8" s="23"/>
      <c r="O8" s="32">
        <v>1326</v>
      </c>
      <c r="P8" s="22"/>
      <c r="Q8" s="22"/>
      <c r="R8" s="22"/>
      <c r="S8" s="23"/>
      <c r="T8" s="24">
        <v>441</v>
      </c>
      <c r="U8" s="22"/>
      <c r="V8" s="22"/>
      <c r="W8" s="22"/>
      <c r="X8" s="23"/>
      <c r="Y8" s="24">
        <f t="shared" si="1"/>
        <v>0.58785299999999996</v>
      </c>
      <c r="Z8" s="22"/>
      <c r="AA8" s="22"/>
      <c r="AB8" s="22"/>
      <c r="AC8" s="23"/>
      <c r="AD8" s="24">
        <v>1345</v>
      </c>
      <c r="AE8" s="22"/>
      <c r="AF8" s="22"/>
      <c r="AG8" s="22"/>
      <c r="AH8" s="23"/>
      <c r="AI8" s="26">
        <v>1417</v>
      </c>
      <c r="AJ8" s="22"/>
      <c r="AK8" s="22"/>
      <c r="AL8" s="22"/>
      <c r="AM8" s="23"/>
      <c r="AN8" s="26">
        <v>1457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287</v>
      </c>
      <c r="F9" s="22"/>
      <c r="G9" s="22"/>
      <c r="H9" s="22"/>
      <c r="I9" s="23"/>
      <c r="J9" s="32">
        <f t="shared" si="0"/>
        <v>0.35875000000000001</v>
      </c>
      <c r="K9" s="22"/>
      <c r="L9" s="22"/>
      <c r="M9" s="22"/>
      <c r="N9" s="23"/>
      <c r="O9" s="32">
        <v>1328</v>
      </c>
      <c r="P9" s="22"/>
      <c r="Q9" s="22"/>
      <c r="R9" s="22"/>
      <c r="S9" s="23"/>
      <c r="T9" s="24">
        <v>287</v>
      </c>
      <c r="U9" s="22"/>
      <c r="V9" s="22"/>
      <c r="W9" s="22"/>
      <c r="X9" s="23"/>
      <c r="Y9" s="24">
        <f t="shared" si="1"/>
        <v>0.38257099999999999</v>
      </c>
      <c r="Z9" s="22"/>
      <c r="AA9" s="22"/>
      <c r="AB9" s="22"/>
      <c r="AC9" s="23"/>
      <c r="AD9" s="24">
        <v>1346</v>
      </c>
      <c r="AE9" s="22"/>
      <c r="AF9" s="22"/>
      <c r="AG9" s="22"/>
      <c r="AH9" s="23"/>
      <c r="AI9" s="26">
        <v>1418</v>
      </c>
      <c r="AJ9" s="22"/>
      <c r="AK9" s="22"/>
      <c r="AL9" s="22"/>
      <c r="AM9" s="23"/>
      <c r="AN9" s="26">
        <v>1458</v>
      </c>
      <c r="AO9" s="22"/>
      <c r="AP9" s="22"/>
      <c r="AQ9" s="22"/>
      <c r="AR9" s="23"/>
      <c r="AS9" s="26"/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444</v>
      </c>
      <c r="F10" s="22"/>
      <c r="G10" s="22"/>
      <c r="H10" s="22"/>
      <c r="I10" s="23"/>
      <c r="J10" s="32">
        <f t="shared" si="0"/>
        <v>0.55500000000000005</v>
      </c>
      <c r="K10" s="22"/>
      <c r="L10" s="22"/>
      <c r="M10" s="22"/>
      <c r="N10" s="23"/>
      <c r="O10" s="32">
        <v>1330</v>
      </c>
      <c r="P10" s="22"/>
      <c r="Q10" s="22"/>
      <c r="R10" s="22"/>
      <c r="S10" s="23"/>
      <c r="T10" s="24">
        <v>444</v>
      </c>
      <c r="U10" s="22"/>
      <c r="V10" s="22"/>
      <c r="W10" s="22"/>
      <c r="X10" s="23"/>
      <c r="Y10" s="24">
        <f t="shared" si="1"/>
        <v>0.59185200000000004</v>
      </c>
      <c r="Z10" s="22"/>
      <c r="AA10" s="22"/>
      <c r="AB10" s="22"/>
      <c r="AC10" s="23"/>
      <c r="AD10" s="24">
        <v>1347</v>
      </c>
      <c r="AE10" s="22"/>
      <c r="AF10" s="22"/>
      <c r="AG10" s="22"/>
      <c r="AH10" s="23"/>
      <c r="AI10" s="26">
        <v>1419</v>
      </c>
      <c r="AJ10" s="22"/>
      <c r="AK10" s="22"/>
      <c r="AL10" s="22"/>
      <c r="AM10" s="23"/>
      <c r="AN10" s="26">
        <v>1459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443</v>
      </c>
      <c r="F11" s="22"/>
      <c r="G11" s="22"/>
      <c r="H11" s="22"/>
      <c r="I11" s="23"/>
      <c r="J11" s="32">
        <f t="shared" si="0"/>
        <v>0.55374999999999996</v>
      </c>
      <c r="K11" s="22"/>
      <c r="L11" s="22"/>
      <c r="M11" s="22"/>
      <c r="N11" s="23"/>
      <c r="O11" s="32">
        <v>1333</v>
      </c>
      <c r="P11" s="22"/>
      <c r="Q11" s="22"/>
      <c r="R11" s="22"/>
      <c r="S11" s="23"/>
      <c r="T11" s="36">
        <v>443</v>
      </c>
      <c r="U11" s="22"/>
      <c r="V11" s="22"/>
      <c r="W11" s="22"/>
      <c r="X11" s="23"/>
      <c r="Y11" s="24">
        <f t="shared" si="1"/>
        <v>0.59051900000000002</v>
      </c>
      <c r="Z11" s="22"/>
      <c r="AA11" s="22"/>
      <c r="AB11" s="22"/>
      <c r="AC11" s="23"/>
      <c r="AD11" s="24">
        <v>1349</v>
      </c>
      <c r="AE11" s="22"/>
      <c r="AF11" s="22"/>
      <c r="AG11" s="22"/>
      <c r="AH11" s="23"/>
      <c r="AI11" s="26">
        <v>1420</v>
      </c>
      <c r="AJ11" s="22"/>
      <c r="AK11" s="22"/>
      <c r="AL11" s="22"/>
      <c r="AM11" s="23"/>
      <c r="AN11" s="26">
        <v>1500</v>
      </c>
      <c r="AO11" s="22"/>
      <c r="AP11" s="22"/>
      <c r="AQ11" s="22"/>
      <c r="AR11" s="23"/>
      <c r="AS11" s="26" t="s">
        <v>125</v>
      </c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459</v>
      </c>
      <c r="F12" s="22"/>
      <c r="G12" s="22"/>
      <c r="H12" s="22"/>
      <c r="I12" s="23"/>
      <c r="J12" s="32">
        <f t="shared" si="0"/>
        <v>0.57374999999999998</v>
      </c>
      <c r="K12" s="22"/>
      <c r="L12" s="22"/>
      <c r="M12" s="22"/>
      <c r="N12" s="23"/>
      <c r="O12" s="32">
        <v>1335</v>
      </c>
      <c r="P12" s="22"/>
      <c r="Q12" s="22"/>
      <c r="R12" s="22"/>
      <c r="S12" s="23"/>
      <c r="T12" s="36">
        <v>459</v>
      </c>
      <c r="U12" s="22"/>
      <c r="V12" s="22"/>
      <c r="W12" s="22"/>
      <c r="X12" s="23"/>
      <c r="Y12" s="24">
        <f t="shared" si="1"/>
        <v>0.61184700000000003</v>
      </c>
      <c r="Z12" s="22"/>
      <c r="AA12" s="22"/>
      <c r="AB12" s="22"/>
      <c r="AC12" s="23"/>
      <c r="AD12" s="24">
        <v>1352</v>
      </c>
      <c r="AE12" s="22"/>
      <c r="AF12" s="22"/>
      <c r="AG12" s="22"/>
      <c r="AH12" s="23"/>
      <c r="AI12" s="26">
        <v>1421</v>
      </c>
      <c r="AJ12" s="22"/>
      <c r="AK12" s="22"/>
      <c r="AL12" s="22"/>
      <c r="AM12" s="23"/>
      <c r="AN12" s="26">
        <v>1501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505</v>
      </c>
      <c r="F13" s="22"/>
      <c r="G13" s="22"/>
      <c r="H13" s="22"/>
      <c r="I13" s="23"/>
      <c r="J13" s="32">
        <f t="shared" si="0"/>
        <v>0.63124999999999998</v>
      </c>
      <c r="K13" s="22"/>
      <c r="L13" s="22"/>
      <c r="M13" s="22"/>
      <c r="N13" s="23"/>
      <c r="O13" s="32">
        <v>1436</v>
      </c>
      <c r="P13" s="22"/>
      <c r="Q13" s="22"/>
      <c r="R13" s="22"/>
      <c r="S13" s="23"/>
      <c r="T13" s="36">
        <v>505</v>
      </c>
      <c r="U13" s="22"/>
      <c r="V13" s="22"/>
      <c r="W13" s="22"/>
      <c r="X13" s="23"/>
      <c r="Y13" s="24">
        <f t="shared" si="1"/>
        <v>0.67316500000000001</v>
      </c>
      <c r="Z13" s="22"/>
      <c r="AA13" s="22"/>
      <c r="AB13" s="22"/>
      <c r="AC13" s="23"/>
      <c r="AD13" s="24">
        <v>1500</v>
      </c>
      <c r="AE13" s="22"/>
      <c r="AF13" s="22"/>
      <c r="AG13" s="22"/>
      <c r="AH13" s="23"/>
      <c r="AI13" s="26">
        <v>1518</v>
      </c>
      <c r="AJ13" s="22"/>
      <c r="AK13" s="22"/>
      <c r="AL13" s="22"/>
      <c r="AM13" s="23"/>
      <c r="AN13" s="26">
        <v>1558</v>
      </c>
      <c r="AO13" s="22"/>
      <c r="AP13" s="22"/>
      <c r="AQ13" s="22"/>
      <c r="AR13" s="23"/>
      <c r="AS13" s="26"/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290</v>
      </c>
      <c r="F14" s="22"/>
      <c r="G14" s="22"/>
      <c r="H14" s="22"/>
      <c r="I14" s="23"/>
      <c r="J14" s="32">
        <f t="shared" si="0"/>
        <v>0.36249999999999999</v>
      </c>
      <c r="K14" s="22"/>
      <c r="L14" s="22"/>
      <c r="M14" s="22"/>
      <c r="N14" s="23"/>
      <c r="O14" s="32">
        <v>1439</v>
      </c>
      <c r="P14" s="22"/>
      <c r="Q14" s="22"/>
      <c r="R14" s="22"/>
      <c r="S14" s="23"/>
      <c r="T14" s="24">
        <v>290</v>
      </c>
      <c r="U14" s="22"/>
      <c r="V14" s="22"/>
      <c r="W14" s="22"/>
      <c r="X14" s="23"/>
      <c r="Y14" s="24">
        <f t="shared" si="1"/>
        <v>0.38656999999999997</v>
      </c>
      <c r="Z14" s="22"/>
      <c r="AA14" s="22"/>
      <c r="AB14" s="22"/>
      <c r="AC14" s="23"/>
      <c r="AD14" s="24">
        <v>1501</v>
      </c>
      <c r="AE14" s="22"/>
      <c r="AF14" s="22"/>
      <c r="AG14" s="22"/>
      <c r="AH14" s="23"/>
      <c r="AI14" s="26">
        <v>1519</v>
      </c>
      <c r="AJ14" s="22"/>
      <c r="AK14" s="22"/>
      <c r="AL14" s="22"/>
      <c r="AM14" s="23"/>
      <c r="AN14" s="26">
        <v>1559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278</v>
      </c>
      <c r="F15" s="22"/>
      <c r="G15" s="22"/>
      <c r="H15" s="22"/>
      <c r="I15" s="23"/>
      <c r="J15" s="32">
        <f t="shared" si="0"/>
        <v>0.34750000000000003</v>
      </c>
      <c r="K15" s="22"/>
      <c r="L15" s="22"/>
      <c r="M15" s="22"/>
      <c r="N15" s="23"/>
      <c r="O15" s="32">
        <v>1440</v>
      </c>
      <c r="P15" s="22"/>
      <c r="Q15" s="22"/>
      <c r="R15" s="22"/>
      <c r="S15" s="23"/>
      <c r="T15" s="24">
        <v>278</v>
      </c>
      <c r="U15" s="22"/>
      <c r="V15" s="22"/>
      <c r="W15" s="22"/>
      <c r="X15" s="23"/>
      <c r="Y15" s="24">
        <f t="shared" si="1"/>
        <v>0.37057400000000001</v>
      </c>
      <c r="Z15" s="22"/>
      <c r="AA15" s="22"/>
      <c r="AB15" s="22"/>
      <c r="AC15" s="23"/>
      <c r="AD15" s="24">
        <v>1502</v>
      </c>
      <c r="AE15" s="22"/>
      <c r="AF15" s="22"/>
      <c r="AG15" s="22"/>
      <c r="AH15" s="23"/>
      <c r="AI15" s="26">
        <v>1520</v>
      </c>
      <c r="AJ15" s="22"/>
      <c r="AK15" s="22"/>
      <c r="AL15" s="22"/>
      <c r="AM15" s="23"/>
      <c r="AN15" s="26">
        <v>1600</v>
      </c>
      <c r="AO15" s="22"/>
      <c r="AP15" s="22"/>
      <c r="AQ15" s="22"/>
      <c r="AR15" s="23"/>
      <c r="AS15" s="26"/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449</v>
      </c>
      <c r="F16" s="22"/>
      <c r="G16" s="22"/>
      <c r="H16" s="22"/>
      <c r="I16" s="23"/>
      <c r="J16" s="32">
        <f t="shared" si="0"/>
        <v>0.56125000000000003</v>
      </c>
      <c r="K16" s="22"/>
      <c r="L16" s="22"/>
      <c r="M16" s="22"/>
      <c r="N16" s="23"/>
      <c r="O16" s="32">
        <v>1443</v>
      </c>
      <c r="P16" s="22"/>
      <c r="Q16" s="22"/>
      <c r="R16" s="22"/>
      <c r="S16" s="23"/>
      <c r="T16" s="24">
        <v>449</v>
      </c>
      <c r="U16" s="22"/>
      <c r="V16" s="22"/>
      <c r="W16" s="22"/>
      <c r="X16" s="23"/>
      <c r="Y16" s="24">
        <f t="shared" si="1"/>
        <v>0.59851699999999997</v>
      </c>
      <c r="Z16" s="22"/>
      <c r="AA16" s="22"/>
      <c r="AB16" s="22"/>
      <c r="AC16" s="23"/>
      <c r="AD16" s="24">
        <v>1505</v>
      </c>
      <c r="AE16" s="22"/>
      <c r="AF16" s="22"/>
      <c r="AG16" s="22"/>
      <c r="AH16" s="23"/>
      <c r="AI16" s="26">
        <v>1521</v>
      </c>
      <c r="AJ16" s="22"/>
      <c r="AK16" s="22"/>
      <c r="AL16" s="22"/>
      <c r="AM16" s="23"/>
      <c r="AN16" s="26">
        <v>1601</v>
      </c>
      <c r="AO16" s="22"/>
      <c r="AP16" s="22"/>
      <c r="AQ16" s="22"/>
      <c r="AR16" s="23"/>
      <c r="AS16" s="26"/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224</v>
      </c>
      <c r="F17" s="22"/>
      <c r="G17" s="22"/>
      <c r="H17" s="22"/>
      <c r="I17" s="23"/>
      <c r="J17" s="32">
        <f t="shared" si="0"/>
        <v>0.28000000000000003</v>
      </c>
      <c r="K17" s="22"/>
      <c r="L17" s="22"/>
      <c r="M17" s="22"/>
      <c r="N17" s="23"/>
      <c r="O17" s="32">
        <v>1445</v>
      </c>
      <c r="P17" s="22"/>
      <c r="Q17" s="22"/>
      <c r="R17" s="22"/>
      <c r="S17" s="23"/>
      <c r="T17" s="24">
        <v>224</v>
      </c>
      <c r="U17" s="22"/>
      <c r="V17" s="22"/>
      <c r="W17" s="22"/>
      <c r="X17" s="23"/>
      <c r="Y17" s="24">
        <f t="shared" si="1"/>
        <v>0.29859199999999997</v>
      </c>
      <c r="Z17" s="22"/>
      <c r="AA17" s="22"/>
      <c r="AB17" s="22"/>
      <c r="AC17" s="23"/>
      <c r="AD17" s="24">
        <v>1608</v>
      </c>
      <c r="AE17" s="22"/>
      <c r="AF17" s="22"/>
      <c r="AG17" s="22"/>
      <c r="AH17" s="23"/>
      <c r="AI17" s="26">
        <v>1522</v>
      </c>
      <c r="AJ17" s="22"/>
      <c r="AK17" s="22"/>
      <c r="AL17" s="22"/>
      <c r="AM17" s="23"/>
      <c r="AN17" s="26">
        <v>1602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>
        <v>474</v>
      </c>
      <c r="F18" s="22"/>
      <c r="G18" s="22"/>
      <c r="H18" s="22"/>
      <c r="I18" s="23"/>
      <c r="J18" s="32">
        <f t="shared" ref="J18:J25" si="2">E18*0.0012</f>
        <v>0.56879999999999997</v>
      </c>
      <c r="K18" s="22"/>
      <c r="L18" s="22"/>
      <c r="M18" s="22"/>
      <c r="N18" s="23"/>
      <c r="O18" s="31">
        <v>1627</v>
      </c>
      <c r="P18" s="22"/>
      <c r="Q18" s="22"/>
      <c r="R18" s="22"/>
      <c r="S18" s="23"/>
      <c r="T18" s="25">
        <v>474</v>
      </c>
      <c r="U18" s="22"/>
      <c r="V18" s="22"/>
      <c r="W18" s="22"/>
      <c r="X18" s="23"/>
      <c r="Y18" s="24">
        <f t="shared" si="1"/>
        <v>0.63184200000000001</v>
      </c>
      <c r="Z18" s="22"/>
      <c r="AA18" s="22"/>
      <c r="AB18" s="22"/>
      <c r="AC18" s="23"/>
      <c r="AD18" s="25">
        <v>1643</v>
      </c>
      <c r="AE18" s="22"/>
      <c r="AF18" s="22"/>
      <c r="AG18" s="22"/>
      <c r="AH18" s="23"/>
      <c r="AI18" s="21">
        <v>1708</v>
      </c>
      <c r="AJ18" s="22"/>
      <c r="AK18" s="22"/>
      <c r="AL18" s="22"/>
      <c r="AM18" s="23"/>
      <c r="AN18" s="21">
        <v>1748</v>
      </c>
      <c r="AO18" s="22"/>
      <c r="AP18" s="22"/>
      <c r="AQ18" s="22"/>
      <c r="AR18" s="23"/>
      <c r="AS18" s="21"/>
      <c r="AT18" s="22"/>
      <c r="AU18" s="22"/>
      <c r="AV18" s="22"/>
      <c r="AW18" s="23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>
        <v>412</v>
      </c>
      <c r="F19" s="22"/>
      <c r="G19" s="22"/>
      <c r="H19" s="22"/>
      <c r="I19" s="23"/>
      <c r="J19" s="32">
        <f t="shared" si="2"/>
        <v>0.49439999999999995</v>
      </c>
      <c r="K19" s="22"/>
      <c r="L19" s="22"/>
      <c r="M19" s="22"/>
      <c r="N19" s="23"/>
      <c r="O19" s="31">
        <v>1629</v>
      </c>
      <c r="P19" s="22"/>
      <c r="Q19" s="22"/>
      <c r="R19" s="22"/>
      <c r="S19" s="23"/>
      <c r="T19" s="34">
        <v>412</v>
      </c>
      <c r="U19" s="22"/>
      <c r="V19" s="22"/>
      <c r="W19" s="22"/>
      <c r="X19" s="23"/>
      <c r="Y19" s="24">
        <f t="shared" si="1"/>
        <v>0.54919600000000002</v>
      </c>
      <c r="Z19" s="22"/>
      <c r="AA19" s="22"/>
      <c r="AB19" s="22"/>
      <c r="AC19" s="23"/>
      <c r="AD19" s="37">
        <v>1645</v>
      </c>
      <c r="AE19" s="22"/>
      <c r="AF19" s="22"/>
      <c r="AG19" s="22"/>
      <c r="AH19" s="23"/>
      <c r="AI19" s="21">
        <v>1709</v>
      </c>
      <c r="AJ19" s="22"/>
      <c r="AK19" s="22"/>
      <c r="AL19" s="22"/>
      <c r="AM19" s="23"/>
      <c r="AN19" s="21">
        <v>1749</v>
      </c>
      <c r="AO19" s="22"/>
      <c r="AP19" s="22"/>
      <c r="AQ19" s="22"/>
      <c r="AR19" s="23"/>
      <c r="AS19" s="30" t="s">
        <v>126</v>
      </c>
      <c r="AT19" s="22"/>
      <c r="AU19" s="22"/>
      <c r="AV19" s="22"/>
      <c r="AW19" s="23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>
        <v>260</v>
      </c>
      <c r="F20" s="22"/>
      <c r="G20" s="22"/>
      <c r="H20" s="22"/>
      <c r="I20" s="23"/>
      <c r="J20" s="32">
        <f t="shared" si="2"/>
        <v>0.312</v>
      </c>
      <c r="K20" s="22"/>
      <c r="L20" s="22"/>
      <c r="M20" s="22"/>
      <c r="N20" s="23"/>
      <c r="O20" s="31">
        <v>1630</v>
      </c>
      <c r="P20" s="22"/>
      <c r="Q20" s="22"/>
      <c r="R20" s="22"/>
      <c r="S20" s="23"/>
      <c r="T20" s="34">
        <v>260</v>
      </c>
      <c r="U20" s="22"/>
      <c r="V20" s="22"/>
      <c r="W20" s="22"/>
      <c r="X20" s="23"/>
      <c r="Y20" s="24">
        <f t="shared" si="1"/>
        <v>0.34658</v>
      </c>
      <c r="Z20" s="22"/>
      <c r="AA20" s="22"/>
      <c r="AB20" s="22"/>
      <c r="AC20" s="23"/>
      <c r="AD20" s="25">
        <v>1646</v>
      </c>
      <c r="AE20" s="22"/>
      <c r="AF20" s="22"/>
      <c r="AG20" s="22"/>
      <c r="AH20" s="23"/>
      <c r="AI20" s="21">
        <v>1710</v>
      </c>
      <c r="AJ20" s="22"/>
      <c r="AK20" s="22"/>
      <c r="AL20" s="22"/>
      <c r="AM20" s="23"/>
      <c r="AN20" s="21">
        <v>1750</v>
      </c>
      <c r="AO20" s="22"/>
      <c r="AP20" s="22"/>
      <c r="AQ20" s="22"/>
      <c r="AR20" s="23"/>
      <c r="AS20" s="21"/>
      <c r="AT20" s="22"/>
      <c r="AU20" s="22"/>
      <c r="AV20" s="22"/>
      <c r="AW20" s="23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>
        <v>269</v>
      </c>
      <c r="F21" s="22"/>
      <c r="G21" s="22"/>
      <c r="H21" s="22"/>
      <c r="I21" s="23"/>
      <c r="J21" s="32">
        <f t="shared" si="2"/>
        <v>0.32279999999999998</v>
      </c>
      <c r="K21" s="22"/>
      <c r="L21" s="22"/>
      <c r="M21" s="22"/>
      <c r="N21" s="23"/>
      <c r="O21" s="31">
        <v>1631</v>
      </c>
      <c r="P21" s="22"/>
      <c r="Q21" s="22"/>
      <c r="R21" s="22"/>
      <c r="S21" s="23"/>
      <c r="T21" s="34">
        <v>269</v>
      </c>
      <c r="U21" s="22"/>
      <c r="V21" s="22"/>
      <c r="W21" s="22"/>
      <c r="X21" s="23"/>
      <c r="Y21" s="24">
        <f t="shared" si="1"/>
        <v>0.35857699999999998</v>
      </c>
      <c r="Z21" s="22"/>
      <c r="AA21" s="22"/>
      <c r="AB21" s="22"/>
      <c r="AC21" s="23"/>
      <c r="AD21" s="25">
        <v>1648</v>
      </c>
      <c r="AE21" s="22"/>
      <c r="AF21" s="22"/>
      <c r="AG21" s="22"/>
      <c r="AH21" s="23"/>
      <c r="AI21" s="21">
        <v>1711</v>
      </c>
      <c r="AJ21" s="22"/>
      <c r="AK21" s="22"/>
      <c r="AL21" s="22"/>
      <c r="AM21" s="23"/>
      <c r="AN21" s="21">
        <v>1751</v>
      </c>
      <c r="AO21" s="22"/>
      <c r="AP21" s="22"/>
      <c r="AQ21" s="22"/>
      <c r="AR21" s="23"/>
      <c r="AS21" s="30" t="s">
        <v>117</v>
      </c>
      <c r="AT21" s="22"/>
      <c r="AU21" s="22"/>
      <c r="AV21" s="22"/>
      <c r="AW21" s="23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>
        <v>292</v>
      </c>
      <c r="F22" s="22"/>
      <c r="G22" s="22"/>
      <c r="H22" s="22"/>
      <c r="I22" s="23"/>
      <c r="J22" s="32">
        <f t="shared" si="2"/>
        <v>0.35039999999999999</v>
      </c>
      <c r="K22" s="22"/>
      <c r="L22" s="22"/>
      <c r="M22" s="22"/>
      <c r="N22" s="23"/>
      <c r="O22" s="31">
        <v>1633</v>
      </c>
      <c r="P22" s="22"/>
      <c r="Q22" s="22"/>
      <c r="R22" s="22"/>
      <c r="S22" s="23"/>
      <c r="T22" s="25">
        <v>292</v>
      </c>
      <c r="U22" s="22"/>
      <c r="V22" s="22"/>
      <c r="W22" s="22"/>
      <c r="X22" s="23"/>
      <c r="Y22" s="24">
        <f t="shared" si="1"/>
        <v>0.38923599999999997</v>
      </c>
      <c r="Z22" s="22"/>
      <c r="AA22" s="22"/>
      <c r="AB22" s="22"/>
      <c r="AC22" s="23"/>
      <c r="AD22" s="25">
        <v>1650</v>
      </c>
      <c r="AE22" s="22"/>
      <c r="AF22" s="22"/>
      <c r="AG22" s="22"/>
      <c r="AH22" s="23"/>
      <c r="AI22" s="21">
        <v>1712</v>
      </c>
      <c r="AJ22" s="22"/>
      <c r="AK22" s="22"/>
      <c r="AL22" s="22"/>
      <c r="AM22" s="23"/>
      <c r="AN22" s="21">
        <v>1752</v>
      </c>
      <c r="AO22" s="22"/>
      <c r="AP22" s="22"/>
      <c r="AQ22" s="22"/>
      <c r="AR22" s="23"/>
      <c r="AS22" s="21"/>
      <c r="AT22" s="22"/>
      <c r="AU22" s="22"/>
      <c r="AV22" s="22"/>
      <c r="AW22" s="23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>
        <v>272</v>
      </c>
      <c r="F23" s="22"/>
      <c r="G23" s="22"/>
      <c r="H23" s="22"/>
      <c r="I23" s="23"/>
      <c r="J23" s="32">
        <f t="shared" si="2"/>
        <v>0.32639999999999997</v>
      </c>
      <c r="K23" s="22"/>
      <c r="L23" s="22"/>
      <c r="M23" s="22"/>
      <c r="N23" s="23"/>
      <c r="O23" s="31">
        <v>1738</v>
      </c>
      <c r="P23" s="22"/>
      <c r="Q23" s="22"/>
      <c r="R23" s="22"/>
      <c r="S23" s="23"/>
      <c r="T23" s="25">
        <v>272</v>
      </c>
      <c r="U23" s="22"/>
      <c r="V23" s="22"/>
      <c r="W23" s="22"/>
      <c r="X23" s="23"/>
      <c r="Y23" s="24">
        <f t="shared" si="1"/>
        <v>0.36257600000000001</v>
      </c>
      <c r="Z23" s="22"/>
      <c r="AA23" s="22"/>
      <c r="AB23" s="22"/>
      <c r="AC23" s="23"/>
      <c r="AD23" s="25">
        <v>1803</v>
      </c>
      <c r="AE23" s="22"/>
      <c r="AF23" s="22"/>
      <c r="AG23" s="22"/>
      <c r="AH23" s="23"/>
      <c r="AI23" s="21">
        <v>1823</v>
      </c>
      <c r="AJ23" s="22"/>
      <c r="AK23" s="22"/>
      <c r="AL23" s="22"/>
      <c r="AM23" s="23"/>
      <c r="AN23" s="21">
        <v>1903</v>
      </c>
      <c r="AO23" s="22"/>
      <c r="AP23" s="22"/>
      <c r="AQ23" s="22"/>
      <c r="AR23" s="23"/>
      <c r="AS23" s="21"/>
      <c r="AT23" s="22"/>
      <c r="AU23" s="22"/>
      <c r="AV23" s="22"/>
      <c r="AW23" s="23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>
        <v>412</v>
      </c>
      <c r="F24" s="22"/>
      <c r="G24" s="22"/>
      <c r="H24" s="22"/>
      <c r="I24" s="23"/>
      <c r="J24" s="32">
        <f t="shared" si="2"/>
        <v>0.49439999999999995</v>
      </c>
      <c r="K24" s="22"/>
      <c r="L24" s="22"/>
      <c r="M24" s="22"/>
      <c r="N24" s="23"/>
      <c r="O24" s="31">
        <v>1740</v>
      </c>
      <c r="P24" s="22"/>
      <c r="Q24" s="22"/>
      <c r="R24" s="22"/>
      <c r="S24" s="23"/>
      <c r="T24" s="25">
        <v>412</v>
      </c>
      <c r="U24" s="22"/>
      <c r="V24" s="22"/>
      <c r="W24" s="22"/>
      <c r="X24" s="23"/>
      <c r="Y24" s="24">
        <f t="shared" si="1"/>
        <v>0.54919600000000002</v>
      </c>
      <c r="Z24" s="22"/>
      <c r="AA24" s="22"/>
      <c r="AB24" s="22"/>
      <c r="AC24" s="23"/>
      <c r="AD24" s="25">
        <v>1605</v>
      </c>
      <c r="AE24" s="22"/>
      <c r="AF24" s="22"/>
      <c r="AG24" s="22"/>
      <c r="AH24" s="23"/>
      <c r="AI24" s="21">
        <v>1824</v>
      </c>
      <c r="AJ24" s="22"/>
      <c r="AK24" s="22"/>
      <c r="AL24" s="22"/>
      <c r="AM24" s="23"/>
      <c r="AN24" s="21">
        <v>1904</v>
      </c>
      <c r="AO24" s="22"/>
      <c r="AP24" s="22"/>
      <c r="AQ24" s="22"/>
      <c r="AR24" s="23"/>
      <c r="AS24" s="21"/>
      <c r="AT24" s="22"/>
      <c r="AU24" s="22"/>
      <c r="AV24" s="22"/>
      <c r="AW24" s="23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>
        <v>273</v>
      </c>
      <c r="F25" s="22"/>
      <c r="G25" s="22"/>
      <c r="H25" s="22"/>
      <c r="I25" s="23"/>
      <c r="J25" s="32">
        <f t="shared" si="2"/>
        <v>0.32759999999999995</v>
      </c>
      <c r="K25" s="22"/>
      <c r="L25" s="22"/>
      <c r="M25" s="22"/>
      <c r="N25" s="23"/>
      <c r="O25" s="31">
        <v>1742</v>
      </c>
      <c r="P25" s="22"/>
      <c r="Q25" s="22"/>
      <c r="R25" s="22"/>
      <c r="S25" s="23"/>
      <c r="T25" s="25">
        <v>273</v>
      </c>
      <c r="U25" s="22"/>
      <c r="V25" s="22"/>
      <c r="W25" s="22"/>
      <c r="X25" s="23"/>
      <c r="Y25" s="24">
        <f t="shared" si="1"/>
        <v>0.36390899999999998</v>
      </c>
      <c r="Z25" s="22"/>
      <c r="AA25" s="22"/>
      <c r="AB25" s="22"/>
      <c r="AC25" s="23"/>
      <c r="AD25" s="25">
        <v>1806</v>
      </c>
      <c r="AE25" s="22"/>
      <c r="AF25" s="22"/>
      <c r="AG25" s="22"/>
      <c r="AH25" s="23"/>
      <c r="AI25" s="21">
        <v>1825</v>
      </c>
      <c r="AJ25" s="22"/>
      <c r="AK25" s="22"/>
      <c r="AL25" s="22"/>
      <c r="AM25" s="23"/>
      <c r="AN25" s="21">
        <v>1905</v>
      </c>
      <c r="AO25" s="22"/>
      <c r="AP25" s="22"/>
      <c r="AQ25" s="22"/>
      <c r="AR25" s="23"/>
      <c r="AS25" s="21"/>
      <c r="AT25" s="22"/>
      <c r="AU25" s="22"/>
      <c r="AV25" s="22"/>
      <c r="AW25" s="23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280</v>
      </c>
      <c r="F26" s="22"/>
      <c r="G26" s="22"/>
      <c r="H26" s="22"/>
      <c r="I26" s="23"/>
      <c r="J26" s="32">
        <f t="shared" ref="J26:J39" si="3">E26*0.00125</f>
        <v>0.35000000000000003</v>
      </c>
      <c r="K26" s="22"/>
      <c r="L26" s="22"/>
      <c r="M26" s="22"/>
      <c r="N26" s="23"/>
      <c r="O26" s="31">
        <v>1744</v>
      </c>
      <c r="P26" s="22"/>
      <c r="Q26" s="22"/>
      <c r="R26" s="22"/>
      <c r="S26" s="23"/>
      <c r="T26" s="25">
        <v>280</v>
      </c>
      <c r="U26" s="22"/>
      <c r="V26" s="22"/>
      <c r="W26" s="22"/>
      <c r="X26" s="23"/>
      <c r="Y26" s="24">
        <f t="shared" si="1"/>
        <v>0.37324000000000002</v>
      </c>
      <c r="Z26" s="22"/>
      <c r="AA26" s="22"/>
      <c r="AB26" s="22"/>
      <c r="AC26" s="23"/>
      <c r="AD26" s="25">
        <v>1808</v>
      </c>
      <c r="AE26" s="22"/>
      <c r="AF26" s="22"/>
      <c r="AG26" s="22"/>
      <c r="AH26" s="23"/>
      <c r="AI26" s="21">
        <v>1826</v>
      </c>
      <c r="AJ26" s="22"/>
      <c r="AK26" s="22"/>
      <c r="AL26" s="22"/>
      <c r="AM26" s="23"/>
      <c r="AN26" s="21">
        <v>1906</v>
      </c>
      <c r="AO26" s="22"/>
      <c r="AP26" s="22"/>
      <c r="AQ26" s="22"/>
      <c r="AR26" s="23"/>
      <c r="AS26" s="21"/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270</v>
      </c>
      <c r="F27" s="22"/>
      <c r="G27" s="22"/>
      <c r="H27" s="22"/>
      <c r="I27" s="23"/>
      <c r="J27" s="32">
        <f t="shared" si="3"/>
        <v>0.33750000000000002</v>
      </c>
      <c r="K27" s="22"/>
      <c r="L27" s="22"/>
      <c r="M27" s="22"/>
      <c r="N27" s="23"/>
      <c r="O27" s="31">
        <v>1747</v>
      </c>
      <c r="P27" s="22"/>
      <c r="Q27" s="22"/>
      <c r="R27" s="22"/>
      <c r="S27" s="23"/>
      <c r="T27" s="34">
        <v>270</v>
      </c>
      <c r="U27" s="22"/>
      <c r="V27" s="22"/>
      <c r="W27" s="22"/>
      <c r="X27" s="23"/>
      <c r="Y27" s="24">
        <f t="shared" si="1"/>
        <v>0.35991000000000001</v>
      </c>
      <c r="Z27" s="22"/>
      <c r="AA27" s="22"/>
      <c r="AB27" s="22"/>
      <c r="AC27" s="23"/>
      <c r="AD27" s="25">
        <v>1809</v>
      </c>
      <c r="AE27" s="22"/>
      <c r="AF27" s="22"/>
      <c r="AG27" s="22"/>
      <c r="AH27" s="23"/>
      <c r="AI27" s="21">
        <v>1827</v>
      </c>
      <c r="AJ27" s="22"/>
      <c r="AK27" s="22"/>
      <c r="AL27" s="22"/>
      <c r="AM27" s="23"/>
      <c r="AN27" s="21">
        <v>1907</v>
      </c>
      <c r="AO27" s="22"/>
      <c r="AP27" s="22"/>
      <c r="AQ27" s="22"/>
      <c r="AR27" s="23"/>
      <c r="AS27" s="21"/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264</v>
      </c>
      <c r="F28" s="22"/>
      <c r="G28" s="22"/>
      <c r="H28" s="22"/>
      <c r="I28" s="23"/>
      <c r="J28" s="32">
        <f t="shared" si="3"/>
        <v>0.33</v>
      </c>
      <c r="K28" s="22"/>
      <c r="L28" s="22"/>
      <c r="M28" s="22"/>
      <c r="N28" s="23"/>
      <c r="O28" s="31">
        <v>1845</v>
      </c>
      <c r="P28" s="22"/>
      <c r="Q28" s="22"/>
      <c r="R28" s="22"/>
      <c r="S28" s="23"/>
      <c r="T28" s="34">
        <v>264</v>
      </c>
      <c r="U28" s="22"/>
      <c r="V28" s="22"/>
      <c r="W28" s="22"/>
      <c r="X28" s="23"/>
      <c r="Y28" s="24">
        <f t="shared" si="1"/>
        <v>0.351912</v>
      </c>
      <c r="Z28" s="22"/>
      <c r="AA28" s="22"/>
      <c r="AB28" s="22"/>
      <c r="AC28" s="23"/>
      <c r="AD28" s="25">
        <v>1903</v>
      </c>
      <c r="AE28" s="22"/>
      <c r="AF28" s="22"/>
      <c r="AG28" s="22"/>
      <c r="AH28" s="23"/>
      <c r="AI28" s="21">
        <v>1919</v>
      </c>
      <c r="AJ28" s="22"/>
      <c r="AK28" s="22"/>
      <c r="AL28" s="22"/>
      <c r="AM28" s="23"/>
      <c r="AN28" s="21">
        <v>1959</v>
      </c>
      <c r="AO28" s="22"/>
      <c r="AP28" s="22"/>
      <c r="AQ28" s="22"/>
      <c r="AR28" s="23"/>
      <c r="AS28" s="21"/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254</v>
      </c>
      <c r="F29" s="22"/>
      <c r="G29" s="22"/>
      <c r="H29" s="22"/>
      <c r="I29" s="23"/>
      <c r="J29" s="32">
        <f t="shared" si="3"/>
        <v>0.3175</v>
      </c>
      <c r="K29" s="22"/>
      <c r="L29" s="22"/>
      <c r="M29" s="22"/>
      <c r="N29" s="23"/>
      <c r="O29" s="31">
        <v>1846</v>
      </c>
      <c r="P29" s="22"/>
      <c r="Q29" s="22"/>
      <c r="R29" s="22"/>
      <c r="S29" s="23"/>
      <c r="T29" s="34">
        <v>254</v>
      </c>
      <c r="U29" s="22"/>
      <c r="V29" s="22"/>
      <c r="W29" s="22"/>
      <c r="X29" s="23"/>
      <c r="Y29" s="24">
        <f t="shared" si="1"/>
        <v>0.33858199999999999</v>
      </c>
      <c r="Z29" s="22"/>
      <c r="AA29" s="22"/>
      <c r="AB29" s="22"/>
      <c r="AC29" s="23"/>
      <c r="AD29" s="25">
        <v>1904</v>
      </c>
      <c r="AE29" s="22"/>
      <c r="AF29" s="22"/>
      <c r="AG29" s="22"/>
      <c r="AH29" s="23"/>
      <c r="AI29" s="21">
        <v>1920</v>
      </c>
      <c r="AJ29" s="22"/>
      <c r="AK29" s="22"/>
      <c r="AL29" s="22"/>
      <c r="AM29" s="23"/>
      <c r="AN29" s="21">
        <v>2000</v>
      </c>
      <c r="AO29" s="22"/>
      <c r="AP29" s="22"/>
      <c r="AQ29" s="22"/>
      <c r="AR29" s="23"/>
      <c r="AS29" s="21"/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294</v>
      </c>
      <c r="F30" s="22"/>
      <c r="G30" s="22"/>
      <c r="H30" s="22"/>
      <c r="I30" s="23"/>
      <c r="J30" s="32">
        <f t="shared" si="3"/>
        <v>0.36749999999999999</v>
      </c>
      <c r="K30" s="22"/>
      <c r="L30" s="22"/>
      <c r="M30" s="22"/>
      <c r="N30" s="23"/>
      <c r="O30" s="31">
        <v>1847</v>
      </c>
      <c r="P30" s="22"/>
      <c r="Q30" s="22"/>
      <c r="R30" s="22"/>
      <c r="S30" s="23"/>
      <c r="T30" s="25">
        <v>294</v>
      </c>
      <c r="U30" s="22"/>
      <c r="V30" s="22"/>
      <c r="W30" s="22"/>
      <c r="X30" s="23"/>
      <c r="Y30" s="24">
        <f t="shared" si="1"/>
        <v>0.39190199999999997</v>
      </c>
      <c r="Z30" s="22"/>
      <c r="AA30" s="22"/>
      <c r="AB30" s="22"/>
      <c r="AC30" s="23"/>
      <c r="AD30" s="25">
        <v>1905</v>
      </c>
      <c r="AE30" s="22"/>
      <c r="AF30" s="22"/>
      <c r="AG30" s="22"/>
      <c r="AH30" s="23"/>
      <c r="AI30" s="21">
        <v>1921</v>
      </c>
      <c r="AJ30" s="22"/>
      <c r="AK30" s="22"/>
      <c r="AL30" s="22"/>
      <c r="AM30" s="23"/>
      <c r="AN30" s="21">
        <v>2001</v>
      </c>
      <c r="AO30" s="22"/>
      <c r="AP30" s="22"/>
      <c r="AQ30" s="22"/>
      <c r="AR30" s="23"/>
      <c r="AS30" s="21"/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280</v>
      </c>
      <c r="F31" s="22"/>
      <c r="G31" s="22"/>
      <c r="H31" s="22"/>
      <c r="I31" s="23"/>
      <c r="J31" s="32">
        <f t="shared" si="3"/>
        <v>0.35000000000000003</v>
      </c>
      <c r="K31" s="22"/>
      <c r="L31" s="22"/>
      <c r="M31" s="22"/>
      <c r="N31" s="23"/>
      <c r="O31" s="31">
        <v>1849</v>
      </c>
      <c r="P31" s="22"/>
      <c r="Q31" s="22"/>
      <c r="R31" s="22"/>
      <c r="S31" s="23"/>
      <c r="T31" s="25">
        <v>280</v>
      </c>
      <c r="U31" s="22"/>
      <c r="V31" s="22"/>
      <c r="W31" s="22"/>
      <c r="X31" s="23"/>
      <c r="Y31" s="24">
        <f t="shared" si="1"/>
        <v>0.37324000000000002</v>
      </c>
      <c r="Z31" s="22"/>
      <c r="AA31" s="22"/>
      <c r="AB31" s="22"/>
      <c r="AC31" s="23"/>
      <c r="AD31" s="25">
        <v>1906</v>
      </c>
      <c r="AE31" s="22"/>
      <c r="AF31" s="22"/>
      <c r="AG31" s="22"/>
      <c r="AH31" s="23"/>
      <c r="AI31" s="21">
        <v>1922</v>
      </c>
      <c r="AJ31" s="22"/>
      <c r="AK31" s="22"/>
      <c r="AL31" s="22"/>
      <c r="AM31" s="23"/>
      <c r="AN31" s="21">
        <v>2002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286</v>
      </c>
      <c r="F32" s="22"/>
      <c r="G32" s="22"/>
      <c r="H32" s="22"/>
      <c r="I32" s="23"/>
      <c r="J32" s="32">
        <f t="shared" si="3"/>
        <v>0.35749999999999998</v>
      </c>
      <c r="K32" s="22"/>
      <c r="L32" s="22"/>
      <c r="M32" s="22"/>
      <c r="N32" s="23"/>
      <c r="O32" s="31">
        <v>1850</v>
      </c>
      <c r="P32" s="22"/>
      <c r="Q32" s="22"/>
      <c r="R32" s="22"/>
      <c r="S32" s="23"/>
      <c r="T32" s="25">
        <v>286</v>
      </c>
      <c r="U32" s="22"/>
      <c r="V32" s="22"/>
      <c r="W32" s="22"/>
      <c r="X32" s="23"/>
      <c r="Y32" s="24">
        <f t="shared" si="1"/>
        <v>0.38123800000000002</v>
      </c>
      <c r="Z32" s="22"/>
      <c r="AA32" s="22"/>
      <c r="AB32" s="22"/>
      <c r="AC32" s="23"/>
      <c r="AD32" s="25">
        <v>1908</v>
      </c>
      <c r="AE32" s="22"/>
      <c r="AF32" s="22"/>
      <c r="AG32" s="22"/>
      <c r="AH32" s="23"/>
      <c r="AI32" s="21">
        <v>1923</v>
      </c>
      <c r="AJ32" s="22"/>
      <c r="AK32" s="22"/>
      <c r="AL32" s="22"/>
      <c r="AM32" s="23"/>
      <c r="AN32" s="21">
        <v>2003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415</v>
      </c>
      <c r="F33" s="22"/>
      <c r="G33" s="22"/>
      <c r="H33" s="22"/>
      <c r="I33" s="23"/>
      <c r="J33" s="32">
        <f t="shared" si="3"/>
        <v>0.51875000000000004</v>
      </c>
      <c r="K33" s="22"/>
      <c r="L33" s="22"/>
      <c r="M33" s="22"/>
      <c r="N33" s="23"/>
      <c r="O33" s="31">
        <v>846</v>
      </c>
      <c r="P33" s="22"/>
      <c r="Q33" s="22"/>
      <c r="R33" s="22"/>
      <c r="S33" s="23"/>
      <c r="T33" s="25">
        <v>415</v>
      </c>
      <c r="U33" s="22"/>
      <c r="V33" s="22"/>
      <c r="W33" s="22"/>
      <c r="X33" s="23"/>
      <c r="Y33" s="24">
        <f t="shared" si="1"/>
        <v>0.55319499999999999</v>
      </c>
      <c r="Z33" s="22"/>
      <c r="AA33" s="22"/>
      <c r="AB33" s="22"/>
      <c r="AC33" s="23"/>
      <c r="AD33" s="25">
        <v>903</v>
      </c>
      <c r="AE33" s="22"/>
      <c r="AF33" s="22"/>
      <c r="AG33" s="22"/>
      <c r="AH33" s="23"/>
      <c r="AI33" s="21">
        <v>921</v>
      </c>
      <c r="AJ33" s="22"/>
      <c r="AK33" s="22"/>
      <c r="AL33" s="22"/>
      <c r="AM33" s="23"/>
      <c r="AN33" s="21">
        <v>1001</v>
      </c>
      <c r="AO33" s="22"/>
      <c r="AP33" s="22"/>
      <c r="AQ33" s="22"/>
      <c r="AR33" s="23"/>
      <c r="AS33" s="21"/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282</v>
      </c>
      <c r="F34" s="22"/>
      <c r="G34" s="22"/>
      <c r="H34" s="22"/>
      <c r="I34" s="23"/>
      <c r="J34" s="32">
        <f t="shared" si="3"/>
        <v>0.35249999999999998</v>
      </c>
      <c r="K34" s="22"/>
      <c r="L34" s="22"/>
      <c r="M34" s="22"/>
      <c r="N34" s="23"/>
      <c r="O34" s="31">
        <v>847</v>
      </c>
      <c r="P34" s="22"/>
      <c r="Q34" s="22"/>
      <c r="R34" s="22"/>
      <c r="S34" s="23"/>
      <c r="T34" s="34">
        <v>282</v>
      </c>
      <c r="U34" s="22"/>
      <c r="V34" s="22"/>
      <c r="W34" s="22"/>
      <c r="X34" s="23"/>
      <c r="Y34" s="24">
        <f t="shared" si="1"/>
        <v>0.37590600000000002</v>
      </c>
      <c r="Z34" s="22"/>
      <c r="AA34" s="22"/>
      <c r="AB34" s="22"/>
      <c r="AC34" s="23"/>
      <c r="AD34" s="25">
        <v>905</v>
      </c>
      <c r="AE34" s="22"/>
      <c r="AF34" s="22"/>
      <c r="AG34" s="22"/>
      <c r="AH34" s="23"/>
      <c r="AI34" s="21">
        <v>922</v>
      </c>
      <c r="AJ34" s="22"/>
      <c r="AK34" s="22"/>
      <c r="AL34" s="22"/>
      <c r="AM34" s="23"/>
      <c r="AN34" s="21">
        <v>1002</v>
      </c>
      <c r="AO34" s="22"/>
      <c r="AP34" s="22"/>
      <c r="AQ34" s="22"/>
      <c r="AR34" s="23"/>
      <c r="AS34" s="21"/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282</v>
      </c>
      <c r="F35" s="22"/>
      <c r="G35" s="22"/>
      <c r="H35" s="22"/>
      <c r="I35" s="23"/>
      <c r="J35" s="32">
        <f t="shared" si="3"/>
        <v>0.35249999999999998</v>
      </c>
      <c r="K35" s="22"/>
      <c r="L35" s="22"/>
      <c r="M35" s="22"/>
      <c r="N35" s="23"/>
      <c r="O35" s="31">
        <v>850</v>
      </c>
      <c r="P35" s="22"/>
      <c r="Q35" s="22"/>
      <c r="R35" s="22"/>
      <c r="S35" s="23"/>
      <c r="T35" s="34">
        <v>282</v>
      </c>
      <c r="U35" s="22"/>
      <c r="V35" s="22"/>
      <c r="W35" s="22"/>
      <c r="X35" s="23"/>
      <c r="Y35" s="24">
        <f t="shared" si="1"/>
        <v>0.37590600000000002</v>
      </c>
      <c r="Z35" s="22"/>
      <c r="AA35" s="22"/>
      <c r="AB35" s="22"/>
      <c r="AC35" s="23"/>
      <c r="AD35" s="25">
        <v>906</v>
      </c>
      <c r="AE35" s="22"/>
      <c r="AF35" s="22"/>
      <c r="AG35" s="22"/>
      <c r="AH35" s="23"/>
      <c r="AI35" s="21">
        <v>923</v>
      </c>
      <c r="AJ35" s="22"/>
      <c r="AK35" s="22"/>
      <c r="AL35" s="22"/>
      <c r="AM35" s="23"/>
      <c r="AN35" s="21">
        <v>1003</v>
      </c>
      <c r="AO35" s="22"/>
      <c r="AP35" s="22"/>
      <c r="AQ35" s="22"/>
      <c r="AR35" s="23"/>
      <c r="AS35" s="21"/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243</v>
      </c>
      <c r="F36" s="22"/>
      <c r="G36" s="22"/>
      <c r="H36" s="22"/>
      <c r="I36" s="23"/>
      <c r="J36" s="32">
        <f t="shared" si="3"/>
        <v>0.30375000000000002</v>
      </c>
      <c r="K36" s="22"/>
      <c r="L36" s="22"/>
      <c r="M36" s="22"/>
      <c r="N36" s="23"/>
      <c r="O36" s="31">
        <v>852</v>
      </c>
      <c r="P36" s="22"/>
      <c r="Q36" s="22"/>
      <c r="R36" s="22"/>
      <c r="S36" s="23"/>
      <c r="T36" s="34">
        <v>243</v>
      </c>
      <c r="U36" s="22"/>
      <c r="V36" s="22"/>
      <c r="W36" s="22"/>
      <c r="X36" s="23"/>
      <c r="Y36" s="24">
        <f t="shared" si="1"/>
        <v>0.32391900000000001</v>
      </c>
      <c r="Z36" s="22"/>
      <c r="AA36" s="22"/>
      <c r="AB36" s="22"/>
      <c r="AC36" s="23"/>
      <c r="AD36" s="25">
        <v>908</v>
      </c>
      <c r="AE36" s="22"/>
      <c r="AF36" s="22"/>
      <c r="AG36" s="22"/>
      <c r="AH36" s="23"/>
      <c r="AI36" s="21">
        <v>924</v>
      </c>
      <c r="AJ36" s="22"/>
      <c r="AK36" s="22"/>
      <c r="AL36" s="22"/>
      <c r="AM36" s="23"/>
      <c r="AN36" s="21">
        <v>1004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454</v>
      </c>
      <c r="F37" s="22"/>
      <c r="G37" s="22"/>
      <c r="H37" s="22"/>
      <c r="I37" s="23"/>
      <c r="J37" s="32">
        <f t="shared" si="3"/>
        <v>0.5675</v>
      </c>
      <c r="K37" s="22"/>
      <c r="L37" s="22"/>
      <c r="M37" s="22"/>
      <c r="N37" s="23"/>
      <c r="O37" s="31">
        <v>854</v>
      </c>
      <c r="P37" s="22"/>
      <c r="Q37" s="22"/>
      <c r="R37" s="22"/>
      <c r="S37" s="23"/>
      <c r="T37" s="34">
        <v>454</v>
      </c>
      <c r="U37" s="22"/>
      <c r="V37" s="22"/>
      <c r="W37" s="22"/>
      <c r="X37" s="23"/>
      <c r="Y37" s="24">
        <f t="shared" si="1"/>
        <v>0.605182</v>
      </c>
      <c r="Z37" s="22"/>
      <c r="AA37" s="22"/>
      <c r="AB37" s="22"/>
      <c r="AC37" s="23"/>
      <c r="AD37" s="25">
        <v>909</v>
      </c>
      <c r="AE37" s="22"/>
      <c r="AF37" s="22"/>
      <c r="AG37" s="22"/>
      <c r="AH37" s="23"/>
      <c r="AI37" s="21">
        <v>925</v>
      </c>
      <c r="AJ37" s="22"/>
      <c r="AK37" s="22"/>
      <c r="AL37" s="22"/>
      <c r="AM37" s="23"/>
      <c r="AN37" s="21">
        <v>1005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465</v>
      </c>
      <c r="F38" s="22"/>
      <c r="G38" s="22"/>
      <c r="H38" s="22"/>
      <c r="I38" s="23"/>
      <c r="J38" s="32">
        <f t="shared" si="3"/>
        <v>0.58125000000000004</v>
      </c>
      <c r="K38" s="22"/>
      <c r="L38" s="22"/>
      <c r="M38" s="22"/>
      <c r="N38" s="23"/>
      <c r="O38" s="31">
        <v>1012</v>
      </c>
      <c r="P38" s="22"/>
      <c r="Q38" s="22"/>
      <c r="R38" s="22"/>
      <c r="S38" s="23"/>
      <c r="T38" s="34">
        <v>465</v>
      </c>
      <c r="U38" s="22"/>
      <c r="V38" s="22"/>
      <c r="W38" s="22"/>
      <c r="X38" s="23"/>
      <c r="Y38" s="24">
        <f t="shared" si="1"/>
        <v>0.61984499999999998</v>
      </c>
      <c r="Z38" s="22"/>
      <c r="AA38" s="22"/>
      <c r="AB38" s="22"/>
      <c r="AC38" s="23"/>
      <c r="AD38" s="25">
        <v>1029</v>
      </c>
      <c r="AE38" s="22"/>
      <c r="AF38" s="22"/>
      <c r="AG38" s="22"/>
      <c r="AH38" s="23"/>
      <c r="AI38" s="21">
        <v>1048</v>
      </c>
      <c r="AJ38" s="22"/>
      <c r="AK38" s="22"/>
      <c r="AL38" s="22"/>
      <c r="AM38" s="23"/>
      <c r="AN38" s="21">
        <v>1128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285</v>
      </c>
      <c r="F39" s="22"/>
      <c r="G39" s="22"/>
      <c r="H39" s="22"/>
      <c r="I39" s="23"/>
      <c r="J39" s="32">
        <f t="shared" si="3"/>
        <v>0.35625000000000001</v>
      </c>
      <c r="K39" s="22"/>
      <c r="L39" s="22"/>
      <c r="M39" s="22"/>
      <c r="N39" s="23"/>
      <c r="O39" s="31">
        <v>1014</v>
      </c>
      <c r="P39" s="22"/>
      <c r="Q39" s="22"/>
      <c r="R39" s="22"/>
      <c r="S39" s="23"/>
      <c r="T39" s="25">
        <v>285</v>
      </c>
      <c r="U39" s="22"/>
      <c r="V39" s="22"/>
      <c r="W39" s="22"/>
      <c r="X39" s="23"/>
      <c r="Y39" s="24">
        <f t="shared" si="1"/>
        <v>0.37990499999999999</v>
      </c>
      <c r="Z39" s="22"/>
      <c r="AA39" s="22"/>
      <c r="AB39" s="22"/>
      <c r="AC39" s="23"/>
      <c r="AD39" s="25">
        <v>1032</v>
      </c>
      <c r="AE39" s="22"/>
      <c r="AF39" s="22"/>
      <c r="AG39" s="22"/>
      <c r="AH39" s="23"/>
      <c r="AI39" s="21">
        <v>1049</v>
      </c>
      <c r="AJ39" s="22"/>
      <c r="AK39" s="22"/>
      <c r="AL39" s="22"/>
      <c r="AM39" s="23"/>
      <c r="AN39" s="21">
        <v>1129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>
        <v>247</v>
      </c>
      <c r="F40" s="22"/>
      <c r="G40" s="22"/>
      <c r="H40" s="22"/>
      <c r="I40" s="23"/>
      <c r="J40" s="32">
        <f t="shared" ref="J40:J46" si="4">E40*0.0012</f>
        <v>0.2964</v>
      </c>
      <c r="K40" s="22"/>
      <c r="L40" s="22"/>
      <c r="M40" s="22"/>
      <c r="N40" s="23"/>
      <c r="O40" s="31">
        <v>1017</v>
      </c>
      <c r="P40" s="22"/>
      <c r="Q40" s="22"/>
      <c r="R40" s="22"/>
      <c r="S40" s="23"/>
      <c r="T40" s="25">
        <v>247</v>
      </c>
      <c r="U40" s="22"/>
      <c r="V40" s="22"/>
      <c r="W40" s="22"/>
      <c r="X40" s="23"/>
      <c r="Y40" s="24">
        <f t="shared" si="1"/>
        <v>0.32925100000000002</v>
      </c>
      <c r="Z40" s="22"/>
      <c r="AA40" s="22"/>
      <c r="AB40" s="22"/>
      <c r="AC40" s="23"/>
      <c r="AD40" s="25">
        <v>1035</v>
      </c>
      <c r="AE40" s="22"/>
      <c r="AF40" s="22"/>
      <c r="AG40" s="22"/>
      <c r="AH40" s="23"/>
      <c r="AI40" s="21">
        <v>1050</v>
      </c>
      <c r="AJ40" s="22"/>
      <c r="AK40" s="22"/>
      <c r="AL40" s="22"/>
      <c r="AM40" s="23"/>
      <c r="AN40" s="21">
        <v>1130</v>
      </c>
      <c r="AO40" s="22"/>
      <c r="AP40" s="22"/>
      <c r="AQ40" s="22"/>
      <c r="AR40" s="23"/>
      <c r="AS40" s="21"/>
      <c r="AT40" s="22"/>
      <c r="AU40" s="22"/>
      <c r="AV40" s="22"/>
      <c r="AW40" s="23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>
        <v>281</v>
      </c>
      <c r="F41" s="22"/>
      <c r="G41" s="22"/>
      <c r="H41" s="22"/>
      <c r="I41" s="23"/>
      <c r="J41" s="32">
        <f t="shared" si="4"/>
        <v>0.33719999999999994</v>
      </c>
      <c r="K41" s="22"/>
      <c r="L41" s="22"/>
      <c r="M41" s="22"/>
      <c r="N41" s="23"/>
      <c r="O41" s="31">
        <v>1020</v>
      </c>
      <c r="P41" s="22"/>
      <c r="Q41" s="22"/>
      <c r="R41" s="22"/>
      <c r="S41" s="23"/>
      <c r="T41" s="34">
        <v>281</v>
      </c>
      <c r="U41" s="22"/>
      <c r="V41" s="22"/>
      <c r="W41" s="22"/>
      <c r="X41" s="23"/>
      <c r="Y41" s="24">
        <f t="shared" si="1"/>
        <v>0.37457299999999999</v>
      </c>
      <c r="Z41" s="22"/>
      <c r="AA41" s="22"/>
      <c r="AB41" s="22"/>
      <c r="AC41" s="23"/>
      <c r="AD41" s="25">
        <v>1036</v>
      </c>
      <c r="AE41" s="22"/>
      <c r="AF41" s="22"/>
      <c r="AG41" s="22"/>
      <c r="AH41" s="23"/>
      <c r="AI41" s="21">
        <v>1051</v>
      </c>
      <c r="AJ41" s="22"/>
      <c r="AK41" s="22"/>
      <c r="AL41" s="22"/>
      <c r="AM41" s="23"/>
      <c r="AN41" s="21">
        <v>1131</v>
      </c>
      <c r="AO41" s="22"/>
      <c r="AP41" s="22"/>
      <c r="AQ41" s="22"/>
      <c r="AR41" s="23"/>
      <c r="AS41" s="21"/>
      <c r="AT41" s="22"/>
      <c r="AU41" s="22"/>
      <c r="AV41" s="22"/>
      <c r="AW41" s="23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>
        <v>395</v>
      </c>
      <c r="F42" s="22"/>
      <c r="G42" s="22"/>
      <c r="H42" s="22"/>
      <c r="I42" s="23"/>
      <c r="J42" s="32">
        <f t="shared" si="4"/>
        <v>0.47399999999999998</v>
      </c>
      <c r="K42" s="22"/>
      <c r="L42" s="22"/>
      <c r="M42" s="22"/>
      <c r="N42" s="23"/>
      <c r="O42" s="31">
        <v>1022</v>
      </c>
      <c r="P42" s="22"/>
      <c r="Q42" s="22"/>
      <c r="R42" s="22"/>
      <c r="S42" s="23"/>
      <c r="T42" s="34">
        <v>395</v>
      </c>
      <c r="U42" s="22"/>
      <c r="V42" s="22"/>
      <c r="W42" s="22"/>
      <c r="X42" s="23"/>
      <c r="Y42" s="24">
        <f t="shared" si="1"/>
        <v>0.52653499999999998</v>
      </c>
      <c r="Z42" s="22"/>
      <c r="AA42" s="22"/>
      <c r="AB42" s="22"/>
      <c r="AC42" s="23"/>
      <c r="AD42" s="25">
        <v>1037</v>
      </c>
      <c r="AE42" s="22"/>
      <c r="AF42" s="22"/>
      <c r="AG42" s="22"/>
      <c r="AH42" s="23"/>
      <c r="AI42" s="21">
        <v>1052</v>
      </c>
      <c r="AJ42" s="22"/>
      <c r="AK42" s="22"/>
      <c r="AL42" s="22"/>
      <c r="AM42" s="23"/>
      <c r="AN42" s="21">
        <v>1132</v>
      </c>
      <c r="AO42" s="22"/>
      <c r="AP42" s="22"/>
      <c r="AQ42" s="22"/>
      <c r="AR42" s="23"/>
      <c r="AS42" s="21"/>
      <c r="AT42" s="22"/>
      <c r="AU42" s="22"/>
      <c r="AV42" s="22"/>
      <c r="AW42" s="23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>
        <v>391</v>
      </c>
      <c r="F43" s="22"/>
      <c r="G43" s="22"/>
      <c r="H43" s="22"/>
      <c r="I43" s="23"/>
      <c r="J43" s="32">
        <f t="shared" si="4"/>
        <v>0.46919999999999995</v>
      </c>
      <c r="K43" s="22"/>
      <c r="L43" s="22"/>
      <c r="M43" s="22"/>
      <c r="N43" s="23"/>
      <c r="O43" s="31">
        <v>1114</v>
      </c>
      <c r="P43" s="22"/>
      <c r="Q43" s="22"/>
      <c r="R43" s="22"/>
      <c r="S43" s="23"/>
      <c r="T43" s="34">
        <v>391</v>
      </c>
      <c r="U43" s="22"/>
      <c r="V43" s="22"/>
      <c r="W43" s="22"/>
      <c r="X43" s="23"/>
      <c r="Y43" s="24">
        <f t="shared" si="1"/>
        <v>0.52120299999999997</v>
      </c>
      <c r="Z43" s="22"/>
      <c r="AA43" s="22"/>
      <c r="AB43" s="22"/>
      <c r="AC43" s="23"/>
      <c r="AD43" s="25">
        <v>1134</v>
      </c>
      <c r="AE43" s="22"/>
      <c r="AF43" s="22"/>
      <c r="AG43" s="22"/>
      <c r="AH43" s="23"/>
      <c r="AI43" s="21">
        <v>1153</v>
      </c>
      <c r="AJ43" s="22"/>
      <c r="AK43" s="22"/>
      <c r="AL43" s="22"/>
      <c r="AM43" s="23"/>
      <c r="AN43" s="21">
        <v>1233</v>
      </c>
      <c r="AO43" s="22"/>
      <c r="AP43" s="22"/>
      <c r="AQ43" s="22"/>
      <c r="AR43" s="23"/>
      <c r="AS43" s="21"/>
      <c r="AT43" s="22"/>
      <c r="AU43" s="22"/>
      <c r="AV43" s="22"/>
      <c r="AW43" s="23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>
        <v>428</v>
      </c>
      <c r="F44" s="22"/>
      <c r="G44" s="22"/>
      <c r="H44" s="22"/>
      <c r="I44" s="23"/>
      <c r="J44" s="32">
        <f t="shared" si="4"/>
        <v>0.51359999999999995</v>
      </c>
      <c r="K44" s="22"/>
      <c r="L44" s="22"/>
      <c r="M44" s="22"/>
      <c r="N44" s="23"/>
      <c r="O44" s="31">
        <v>1116</v>
      </c>
      <c r="P44" s="22"/>
      <c r="Q44" s="22"/>
      <c r="R44" s="22"/>
      <c r="S44" s="23"/>
      <c r="T44" s="34">
        <v>428</v>
      </c>
      <c r="U44" s="22"/>
      <c r="V44" s="22"/>
      <c r="W44" s="22"/>
      <c r="X44" s="23"/>
      <c r="Y44" s="24">
        <f t="shared" si="1"/>
        <v>0.57052400000000003</v>
      </c>
      <c r="Z44" s="22"/>
      <c r="AA44" s="22"/>
      <c r="AB44" s="22"/>
      <c r="AC44" s="23"/>
      <c r="AD44" s="25">
        <v>1136</v>
      </c>
      <c r="AE44" s="22"/>
      <c r="AF44" s="22"/>
      <c r="AG44" s="22"/>
      <c r="AH44" s="23"/>
      <c r="AI44" s="21">
        <v>1154</v>
      </c>
      <c r="AJ44" s="22"/>
      <c r="AK44" s="22"/>
      <c r="AL44" s="22"/>
      <c r="AM44" s="23"/>
      <c r="AN44" s="21">
        <v>1234</v>
      </c>
      <c r="AO44" s="22"/>
      <c r="AP44" s="22"/>
      <c r="AQ44" s="22"/>
      <c r="AR44" s="23"/>
      <c r="AS44" s="30" t="s">
        <v>127</v>
      </c>
      <c r="AT44" s="22"/>
      <c r="AU44" s="22"/>
      <c r="AV44" s="22"/>
      <c r="AW44" s="23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>
        <v>436</v>
      </c>
      <c r="F45" s="22"/>
      <c r="G45" s="22"/>
      <c r="H45" s="22"/>
      <c r="I45" s="23"/>
      <c r="J45" s="32">
        <f t="shared" si="4"/>
        <v>0.5232</v>
      </c>
      <c r="K45" s="22"/>
      <c r="L45" s="22"/>
      <c r="M45" s="22"/>
      <c r="N45" s="23"/>
      <c r="O45" s="31">
        <v>1118</v>
      </c>
      <c r="P45" s="22"/>
      <c r="Q45" s="22"/>
      <c r="R45" s="22"/>
      <c r="S45" s="23"/>
      <c r="T45" s="34">
        <v>436</v>
      </c>
      <c r="U45" s="22"/>
      <c r="V45" s="22"/>
      <c r="W45" s="22"/>
      <c r="X45" s="23"/>
      <c r="Y45" s="24">
        <f t="shared" si="1"/>
        <v>0.58118800000000004</v>
      </c>
      <c r="Z45" s="22"/>
      <c r="AA45" s="22"/>
      <c r="AB45" s="22"/>
      <c r="AC45" s="23"/>
      <c r="AD45" s="25">
        <v>1138</v>
      </c>
      <c r="AE45" s="22"/>
      <c r="AF45" s="22"/>
      <c r="AG45" s="22"/>
      <c r="AH45" s="23"/>
      <c r="AI45" s="21">
        <v>1155</v>
      </c>
      <c r="AJ45" s="22"/>
      <c r="AK45" s="22"/>
      <c r="AL45" s="22"/>
      <c r="AM45" s="23"/>
      <c r="AN45" s="21">
        <v>1235</v>
      </c>
      <c r="AO45" s="22"/>
      <c r="AP45" s="22"/>
      <c r="AQ45" s="22"/>
      <c r="AR45" s="23"/>
      <c r="AS45" s="21"/>
      <c r="AT45" s="22"/>
      <c r="AU45" s="22"/>
      <c r="AV45" s="22"/>
      <c r="AW45" s="23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>
        <v>257</v>
      </c>
      <c r="F46" s="22"/>
      <c r="G46" s="22"/>
      <c r="H46" s="22"/>
      <c r="I46" s="23"/>
      <c r="J46" s="32">
        <f t="shared" si="4"/>
        <v>0.30839999999999995</v>
      </c>
      <c r="K46" s="22"/>
      <c r="L46" s="22"/>
      <c r="M46" s="22"/>
      <c r="N46" s="23"/>
      <c r="O46" s="31">
        <v>1120</v>
      </c>
      <c r="P46" s="22"/>
      <c r="Q46" s="22"/>
      <c r="R46" s="22"/>
      <c r="S46" s="23"/>
      <c r="T46" s="25">
        <v>257</v>
      </c>
      <c r="U46" s="22"/>
      <c r="V46" s="22"/>
      <c r="W46" s="22"/>
      <c r="X46" s="23"/>
      <c r="Y46" s="24">
        <f t="shared" si="1"/>
        <v>0.34258099999999997</v>
      </c>
      <c r="Z46" s="22"/>
      <c r="AA46" s="22"/>
      <c r="AB46" s="22"/>
      <c r="AC46" s="23"/>
      <c r="AD46" s="25">
        <v>1139</v>
      </c>
      <c r="AE46" s="22"/>
      <c r="AF46" s="22"/>
      <c r="AG46" s="22"/>
      <c r="AH46" s="23"/>
      <c r="AI46" s="21">
        <v>1156</v>
      </c>
      <c r="AJ46" s="22"/>
      <c r="AK46" s="22"/>
      <c r="AL46" s="22"/>
      <c r="AM46" s="23"/>
      <c r="AN46" s="21">
        <v>1236</v>
      </c>
      <c r="AO46" s="22"/>
      <c r="AP46" s="22"/>
      <c r="AQ46" s="22"/>
      <c r="AR46" s="23"/>
      <c r="AS46" s="21"/>
      <c r="AT46" s="22"/>
      <c r="AU46" s="22"/>
      <c r="AV46" s="22"/>
      <c r="AW46" s="23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414">
    <mergeCell ref="AI38:AM38"/>
    <mergeCell ref="AD37:AH37"/>
    <mergeCell ref="AN25:AR25"/>
    <mergeCell ref="T26:X26"/>
    <mergeCell ref="Y26:AC26"/>
    <mergeCell ref="AD26:AH26"/>
    <mergeCell ref="AI26:AM26"/>
    <mergeCell ref="AD27:AH27"/>
    <mergeCell ref="T27:X27"/>
    <mergeCell ref="Y27:AC27"/>
    <mergeCell ref="T28:X28"/>
    <mergeCell ref="Y28:AC28"/>
    <mergeCell ref="T30:X30"/>
    <mergeCell ref="Y30:AC30"/>
    <mergeCell ref="AD30:AH30"/>
    <mergeCell ref="E26:I26"/>
    <mergeCell ref="J26:N26"/>
    <mergeCell ref="O26:S26"/>
    <mergeCell ref="O37:S37"/>
    <mergeCell ref="T37:X37"/>
    <mergeCell ref="Y37:AC37"/>
    <mergeCell ref="E38:I38"/>
    <mergeCell ref="J38:N38"/>
    <mergeCell ref="O38:S38"/>
    <mergeCell ref="E30:I30"/>
    <mergeCell ref="J30:N30"/>
    <mergeCell ref="O30:S30"/>
    <mergeCell ref="AI39:AM39"/>
    <mergeCell ref="E37:I37"/>
    <mergeCell ref="J37:N37"/>
    <mergeCell ref="AS25:AW25"/>
    <mergeCell ref="AS24:AW24"/>
    <mergeCell ref="AN24:AR24"/>
    <mergeCell ref="E25:I25"/>
    <mergeCell ref="J25:N25"/>
    <mergeCell ref="AI36:AM36"/>
    <mergeCell ref="AI35:AM35"/>
    <mergeCell ref="AI34:AM34"/>
    <mergeCell ref="AI33:AM33"/>
    <mergeCell ref="O25:S25"/>
    <mergeCell ref="E31:I31"/>
    <mergeCell ref="J31:N31"/>
    <mergeCell ref="O31:S31"/>
    <mergeCell ref="AI31:AM31"/>
    <mergeCell ref="AD31:AH31"/>
    <mergeCell ref="T31:X31"/>
    <mergeCell ref="Y31:AC31"/>
    <mergeCell ref="T32:X32"/>
    <mergeCell ref="Y32:AC32"/>
    <mergeCell ref="AD32:AH32"/>
    <mergeCell ref="AI32:AM32"/>
    <mergeCell ref="E23:I23"/>
    <mergeCell ref="J23:N23"/>
    <mergeCell ref="O23:S23"/>
    <mergeCell ref="T23:X23"/>
    <mergeCell ref="Y23:AC23"/>
    <mergeCell ref="AD23:AH23"/>
    <mergeCell ref="AI23:AM23"/>
    <mergeCell ref="E39:I39"/>
    <mergeCell ref="J39:N39"/>
    <mergeCell ref="O39:S39"/>
    <mergeCell ref="E24:I24"/>
    <mergeCell ref="J24:N24"/>
    <mergeCell ref="O24:S24"/>
    <mergeCell ref="AI24:AM24"/>
    <mergeCell ref="AD24:AH24"/>
    <mergeCell ref="T24:X24"/>
    <mergeCell ref="Y24:AC24"/>
    <mergeCell ref="T25:X25"/>
    <mergeCell ref="Y25:AC25"/>
    <mergeCell ref="AD25:AH25"/>
    <mergeCell ref="AI25:AM25"/>
    <mergeCell ref="AI37:AM37"/>
    <mergeCell ref="AD38:AH38"/>
    <mergeCell ref="T38:X38"/>
    <mergeCell ref="AI30:AM30"/>
    <mergeCell ref="E32:I32"/>
    <mergeCell ref="J32:N32"/>
    <mergeCell ref="O32:S32"/>
    <mergeCell ref="AD45:AH45"/>
    <mergeCell ref="T45:X45"/>
    <mergeCell ref="Y45:AC45"/>
    <mergeCell ref="AN32:AR32"/>
    <mergeCell ref="AS32:AW32"/>
    <mergeCell ref="AS31:AW31"/>
    <mergeCell ref="AN31:AR31"/>
    <mergeCell ref="AN30:AR30"/>
    <mergeCell ref="AS30:AW30"/>
    <mergeCell ref="AN39:AR39"/>
    <mergeCell ref="AS39:AW39"/>
    <mergeCell ref="AS38:AW38"/>
    <mergeCell ref="AN38:AR38"/>
    <mergeCell ref="AN37:AR37"/>
    <mergeCell ref="AS37:AW37"/>
    <mergeCell ref="AS45:AW45"/>
    <mergeCell ref="AN45:AR45"/>
    <mergeCell ref="AN33:AR33"/>
    <mergeCell ref="AS33:AW33"/>
    <mergeCell ref="AN36:AR36"/>
    <mergeCell ref="AS46:AW46"/>
    <mergeCell ref="T46:X46"/>
    <mergeCell ref="Y46:AC46"/>
    <mergeCell ref="AN44:AR44"/>
    <mergeCell ref="AS44:AW44"/>
    <mergeCell ref="E44:I44"/>
    <mergeCell ref="J44:N44"/>
    <mergeCell ref="O44:S44"/>
    <mergeCell ref="T44:X44"/>
    <mergeCell ref="Y44:AC44"/>
    <mergeCell ref="AD44:AH44"/>
    <mergeCell ref="AI44:AM44"/>
    <mergeCell ref="AD46:AH46"/>
    <mergeCell ref="E45:I45"/>
    <mergeCell ref="J45:N45"/>
    <mergeCell ref="O45:S45"/>
    <mergeCell ref="AI45:AM45"/>
    <mergeCell ref="AI46:AM46"/>
    <mergeCell ref="AN46:AR46"/>
    <mergeCell ref="E46:I46"/>
    <mergeCell ref="J46:N46"/>
    <mergeCell ref="O46:S46"/>
    <mergeCell ref="AS36:AW36"/>
    <mergeCell ref="AN35:AR35"/>
    <mergeCell ref="AS35:AW35"/>
    <mergeCell ref="AS34:AW34"/>
    <mergeCell ref="AN34:AR34"/>
    <mergeCell ref="AN26:AR26"/>
    <mergeCell ref="AS26:AW26"/>
    <mergeCell ref="E40:I40"/>
    <mergeCell ref="J40:N40"/>
    <mergeCell ref="O40:S40"/>
    <mergeCell ref="T40:X40"/>
    <mergeCell ref="Y40:AC40"/>
    <mergeCell ref="AD40:AH40"/>
    <mergeCell ref="AI40:AM40"/>
    <mergeCell ref="AN40:AR40"/>
    <mergeCell ref="AS40:AW40"/>
    <mergeCell ref="J34:N34"/>
    <mergeCell ref="O34:S34"/>
    <mergeCell ref="AD34:AH34"/>
    <mergeCell ref="T34:X34"/>
    <mergeCell ref="Y34:AC34"/>
    <mergeCell ref="T35:X35"/>
    <mergeCell ref="Y35:AC35"/>
    <mergeCell ref="E35:I35"/>
    <mergeCell ref="AS3:AW3"/>
    <mergeCell ref="E3:I3"/>
    <mergeCell ref="J3:N3"/>
    <mergeCell ref="O3:S3"/>
    <mergeCell ref="T3:X3"/>
    <mergeCell ref="AI6:AM6"/>
    <mergeCell ref="AN6:AR6"/>
    <mergeCell ref="AI5:AM5"/>
    <mergeCell ref="AN5:AR5"/>
    <mergeCell ref="J4:N4"/>
    <mergeCell ref="O4:S4"/>
    <mergeCell ref="AD4:AH4"/>
    <mergeCell ref="T4:X4"/>
    <mergeCell ref="Y4:AC4"/>
    <mergeCell ref="E5:I5"/>
    <mergeCell ref="J5:N5"/>
    <mergeCell ref="O5:S5"/>
    <mergeCell ref="T5:X5"/>
    <mergeCell ref="Y5:AC5"/>
    <mergeCell ref="AD5:AH5"/>
    <mergeCell ref="Y3:AC3"/>
    <mergeCell ref="AI4:AM4"/>
    <mergeCell ref="AI3:AM3"/>
    <mergeCell ref="AS6:AW6"/>
    <mergeCell ref="AI1:AM1"/>
    <mergeCell ref="AN1:AR1"/>
    <mergeCell ref="E1:I1"/>
    <mergeCell ref="J1:N1"/>
    <mergeCell ref="O1:S1"/>
    <mergeCell ref="T1:X1"/>
    <mergeCell ref="Y1:AC1"/>
    <mergeCell ref="AD1:AH1"/>
    <mergeCell ref="AS1:AW1"/>
    <mergeCell ref="AI2:AM2"/>
    <mergeCell ref="AN2:AR2"/>
    <mergeCell ref="AS5:AW5"/>
    <mergeCell ref="AS2:AW2"/>
    <mergeCell ref="E4:I4"/>
    <mergeCell ref="AN4:AR4"/>
    <mergeCell ref="AS4:AW4"/>
    <mergeCell ref="AN3:AR3"/>
    <mergeCell ref="T8:X8"/>
    <mergeCell ref="Y8:AC8"/>
    <mergeCell ref="AN8:AR8"/>
    <mergeCell ref="AS8:AW8"/>
    <mergeCell ref="E8:I8"/>
    <mergeCell ref="J8:N8"/>
    <mergeCell ref="O8:S8"/>
    <mergeCell ref="AI8:AM8"/>
    <mergeCell ref="E6:I6"/>
    <mergeCell ref="J6:N6"/>
    <mergeCell ref="O6:S6"/>
    <mergeCell ref="AD8:AH8"/>
    <mergeCell ref="E7:I7"/>
    <mergeCell ref="J7:N7"/>
    <mergeCell ref="O7:S7"/>
    <mergeCell ref="T7:X7"/>
    <mergeCell ref="Y7:AC7"/>
    <mergeCell ref="T6:X6"/>
    <mergeCell ref="Y6:AC6"/>
    <mergeCell ref="AD6:AH6"/>
    <mergeCell ref="AD7:AH7"/>
    <mergeCell ref="AI7:AM7"/>
    <mergeCell ref="AN7:AR7"/>
    <mergeCell ref="AS7:AW7"/>
    <mergeCell ref="E9:I9"/>
    <mergeCell ref="J9:N9"/>
    <mergeCell ref="O9:S9"/>
    <mergeCell ref="T9:X9"/>
    <mergeCell ref="Y9:AC9"/>
    <mergeCell ref="AI10:AM10"/>
    <mergeCell ref="AD9:AH9"/>
    <mergeCell ref="AI9:AM9"/>
    <mergeCell ref="AN9:AR9"/>
    <mergeCell ref="J11:N11"/>
    <mergeCell ref="AS11:AW11"/>
    <mergeCell ref="Y10:AC10"/>
    <mergeCell ref="Y11:AC11"/>
    <mergeCell ref="AD10:AH10"/>
    <mergeCell ref="AD11:AH11"/>
    <mergeCell ref="E10:I10"/>
    <mergeCell ref="J10:N10"/>
    <mergeCell ref="O10:S10"/>
    <mergeCell ref="E16:I16"/>
    <mergeCell ref="J16:N16"/>
    <mergeCell ref="O16:S16"/>
    <mergeCell ref="T16:X16"/>
    <mergeCell ref="Y16:AC16"/>
    <mergeCell ref="AN17:AR17"/>
    <mergeCell ref="E13:I13"/>
    <mergeCell ref="J13:N13"/>
    <mergeCell ref="O13:S13"/>
    <mergeCell ref="AI13:AM13"/>
    <mergeCell ref="E15:I15"/>
    <mergeCell ref="J15:N15"/>
    <mergeCell ref="O15:S15"/>
    <mergeCell ref="T15:X15"/>
    <mergeCell ref="Y15:AC15"/>
    <mergeCell ref="AD15:AH15"/>
    <mergeCell ref="AI15:AM15"/>
    <mergeCell ref="E14:I14"/>
    <mergeCell ref="J14:N14"/>
    <mergeCell ref="O14:S14"/>
    <mergeCell ref="AN10:AR10"/>
    <mergeCell ref="E17:I17"/>
    <mergeCell ref="J17:N17"/>
    <mergeCell ref="O17:S17"/>
    <mergeCell ref="AD17:AH17"/>
    <mergeCell ref="AI17:AM17"/>
    <mergeCell ref="T17:X17"/>
    <mergeCell ref="Y17:AC17"/>
    <mergeCell ref="E18:I18"/>
    <mergeCell ref="J18:N18"/>
    <mergeCell ref="O18:S18"/>
    <mergeCell ref="T18:X18"/>
    <mergeCell ref="Y18:AC18"/>
    <mergeCell ref="AD18:AH18"/>
    <mergeCell ref="AI18:AM18"/>
    <mergeCell ref="E2:I2"/>
    <mergeCell ref="J2:N2"/>
    <mergeCell ref="O2:S2"/>
    <mergeCell ref="T2:X2"/>
    <mergeCell ref="Y2:AC2"/>
    <mergeCell ref="AD2:AH2"/>
    <mergeCell ref="AD3:AH3"/>
    <mergeCell ref="AN12:AR12"/>
    <mergeCell ref="AS12:AW12"/>
    <mergeCell ref="E12:I12"/>
    <mergeCell ref="J12:N12"/>
    <mergeCell ref="O12:S12"/>
    <mergeCell ref="T12:X12"/>
    <mergeCell ref="Y12:AC12"/>
    <mergeCell ref="AD12:AH12"/>
    <mergeCell ref="AI12:AM12"/>
    <mergeCell ref="AS9:AW9"/>
    <mergeCell ref="AS10:AW10"/>
    <mergeCell ref="O11:S11"/>
    <mergeCell ref="T10:X10"/>
    <mergeCell ref="T11:X11"/>
    <mergeCell ref="AI11:AM11"/>
    <mergeCell ref="AN11:AR11"/>
    <mergeCell ref="E11:I11"/>
    <mergeCell ref="AS21:AW21"/>
    <mergeCell ref="AS20:AW20"/>
    <mergeCell ref="AN20:AR20"/>
    <mergeCell ref="AN15:AR15"/>
    <mergeCell ref="AS15:AW15"/>
    <mergeCell ref="AD13:AH13"/>
    <mergeCell ref="T13:X13"/>
    <mergeCell ref="Y13:AC13"/>
    <mergeCell ref="T14:X14"/>
    <mergeCell ref="Y14:AC14"/>
    <mergeCell ref="AD14:AH14"/>
    <mergeCell ref="AI14:AM14"/>
    <mergeCell ref="AN14:AR14"/>
    <mergeCell ref="AS14:AW14"/>
    <mergeCell ref="AS13:AW13"/>
    <mergeCell ref="AN13:AR13"/>
    <mergeCell ref="AD16:AH16"/>
    <mergeCell ref="AI16:AM16"/>
    <mergeCell ref="AN16:AR16"/>
    <mergeCell ref="AS16:AW16"/>
    <mergeCell ref="AS17:AW17"/>
    <mergeCell ref="AS18:AW18"/>
    <mergeCell ref="AN18:AR18"/>
    <mergeCell ref="AS19:AW19"/>
    <mergeCell ref="E19:I19"/>
    <mergeCell ref="J19:N19"/>
    <mergeCell ref="O19:S19"/>
    <mergeCell ref="T19:X19"/>
    <mergeCell ref="Y19:AC19"/>
    <mergeCell ref="AD19:AH19"/>
    <mergeCell ref="AI19:AM19"/>
    <mergeCell ref="E20:I20"/>
    <mergeCell ref="J20:N20"/>
    <mergeCell ref="O20:S20"/>
    <mergeCell ref="AI20:AM20"/>
    <mergeCell ref="AD20:AH20"/>
    <mergeCell ref="T20:X20"/>
    <mergeCell ref="Y20:AC20"/>
    <mergeCell ref="E22:I22"/>
    <mergeCell ref="J22:N22"/>
    <mergeCell ref="O22:S22"/>
    <mergeCell ref="T22:X22"/>
    <mergeCell ref="Y22:AC22"/>
    <mergeCell ref="E21:I21"/>
    <mergeCell ref="J21:N21"/>
    <mergeCell ref="O21:S21"/>
    <mergeCell ref="AN19:AR19"/>
    <mergeCell ref="T21:X21"/>
    <mergeCell ref="Y21:AC21"/>
    <mergeCell ref="AD21:AH21"/>
    <mergeCell ref="AI21:AM21"/>
    <mergeCell ref="AN21:AR21"/>
    <mergeCell ref="AD28:AH28"/>
    <mergeCell ref="AI28:AM28"/>
    <mergeCell ref="AN28:AR28"/>
    <mergeCell ref="AS28:AW28"/>
    <mergeCell ref="AS27:AW27"/>
    <mergeCell ref="AN27:AR27"/>
    <mergeCell ref="AD22:AH22"/>
    <mergeCell ref="AI22:AM22"/>
    <mergeCell ref="AN22:AR22"/>
    <mergeCell ref="AS22:AW22"/>
    <mergeCell ref="AN23:AR23"/>
    <mergeCell ref="AS23:AW23"/>
    <mergeCell ref="E28:I28"/>
    <mergeCell ref="J28:N28"/>
    <mergeCell ref="O28:S28"/>
    <mergeCell ref="E27:I27"/>
    <mergeCell ref="J27:N27"/>
    <mergeCell ref="O27:S27"/>
    <mergeCell ref="AI27:AM27"/>
    <mergeCell ref="AS41:AW41"/>
    <mergeCell ref="AN41:AR41"/>
    <mergeCell ref="AD29:AH29"/>
    <mergeCell ref="AI29:AM29"/>
    <mergeCell ref="AN29:AR29"/>
    <mergeCell ref="AS29:AW29"/>
    <mergeCell ref="E29:I29"/>
    <mergeCell ref="J29:N29"/>
    <mergeCell ref="O29:S29"/>
    <mergeCell ref="T29:X29"/>
    <mergeCell ref="Y29:AC29"/>
    <mergeCell ref="E36:I36"/>
    <mergeCell ref="J36:N36"/>
    <mergeCell ref="O36:S36"/>
    <mergeCell ref="T36:X36"/>
    <mergeCell ref="Y36:AC36"/>
    <mergeCell ref="AD36:AH36"/>
    <mergeCell ref="E33:I33"/>
    <mergeCell ref="J33:N33"/>
    <mergeCell ref="O33:S33"/>
    <mergeCell ref="T33:X33"/>
    <mergeCell ref="Y33:AC33"/>
    <mergeCell ref="AD33:AH33"/>
    <mergeCell ref="E34:I34"/>
    <mergeCell ref="E41:I41"/>
    <mergeCell ref="J41:N41"/>
    <mergeCell ref="O41:S41"/>
    <mergeCell ref="J35:N35"/>
    <mergeCell ref="O35:S35"/>
    <mergeCell ref="AD35:AH35"/>
    <mergeCell ref="Y38:AC38"/>
    <mergeCell ref="T39:X39"/>
    <mergeCell ref="Y39:AC39"/>
    <mergeCell ref="AD39:AH39"/>
    <mergeCell ref="AI41:AM41"/>
    <mergeCell ref="AD43:AH43"/>
    <mergeCell ref="AI43:AM43"/>
    <mergeCell ref="AD41:AH41"/>
    <mergeCell ref="T41:X41"/>
    <mergeCell ref="Y41:AC41"/>
    <mergeCell ref="T42:X42"/>
    <mergeCell ref="Y42:AC42"/>
    <mergeCell ref="AD42:AH42"/>
    <mergeCell ref="AI42:AM42"/>
    <mergeCell ref="AN43:AR43"/>
    <mergeCell ref="AS43:AW43"/>
    <mergeCell ref="E43:I43"/>
    <mergeCell ref="J43:N43"/>
    <mergeCell ref="O43:S43"/>
    <mergeCell ref="T43:X43"/>
    <mergeCell ref="Y43:AC43"/>
    <mergeCell ref="E42:I42"/>
    <mergeCell ref="J42:N42"/>
    <mergeCell ref="O42:S42"/>
    <mergeCell ref="AN42:AR42"/>
    <mergeCell ref="AS42:AW4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D85C6"/>
    <outlinePr summaryBelow="0" summaryRight="0"/>
    <pageSetUpPr fitToPage="1"/>
  </sheetPr>
  <dimension ref="A1:GB71"/>
  <sheetViews>
    <sheetView showGridLines="0" topLeftCell="C1" workbookViewId="0">
      <selection activeCell="AD4" sqref="AD4:AH4"/>
    </sheetView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75" customWidth="1"/>
    <col min="4" max="4" width="15.75" customWidth="1"/>
    <col min="5" max="18" width="3" customWidth="1"/>
    <col min="19" max="19" width="25.75" customWidth="1"/>
    <col min="20" max="23" width="3" customWidth="1"/>
    <col min="24" max="24" width="2.75" customWidth="1"/>
    <col min="25" max="78" width="3" customWidth="1"/>
    <col min="79" max="79" width="19.33203125" customWidth="1"/>
    <col min="8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433</v>
      </c>
      <c r="F2" s="22"/>
      <c r="G2" s="22"/>
      <c r="H2" s="22"/>
      <c r="I2" s="23"/>
      <c r="J2" s="32">
        <f t="shared" ref="J2:J17" si="0">E2*0.00125</f>
        <v>0.54125000000000001</v>
      </c>
      <c r="K2" s="22"/>
      <c r="L2" s="22"/>
      <c r="M2" s="22"/>
      <c r="N2" s="23"/>
      <c r="O2" s="32">
        <v>1430</v>
      </c>
      <c r="P2" s="22"/>
      <c r="Q2" s="22"/>
      <c r="R2" s="22"/>
      <c r="S2" s="23"/>
      <c r="T2" s="24">
        <v>433</v>
      </c>
      <c r="U2" s="22"/>
      <c r="V2" s="22"/>
      <c r="W2" s="22"/>
      <c r="X2" s="23"/>
      <c r="Y2" s="24">
        <f t="shared" ref="Y2:Y46" si="1">T2*0.001333</f>
        <v>0.57718899999999995</v>
      </c>
      <c r="Z2" s="22"/>
      <c r="AA2" s="22"/>
      <c r="AB2" s="22"/>
      <c r="AC2" s="23"/>
      <c r="AD2" s="24">
        <v>1447</v>
      </c>
      <c r="AE2" s="22"/>
      <c r="AF2" s="22"/>
      <c r="AG2" s="22"/>
      <c r="AH2" s="23"/>
      <c r="AI2" s="26">
        <v>1507</v>
      </c>
      <c r="AJ2" s="22"/>
      <c r="AK2" s="22"/>
      <c r="AL2" s="22"/>
      <c r="AM2" s="23"/>
      <c r="AN2" s="26">
        <v>1547</v>
      </c>
      <c r="AO2" s="22"/>
      <c r="AP2" s="22"/>
      <c r="AQ2" s="22"/>
      <c r="AR2" s="23"/>
      <c r="AS2" s="26" t="s">
        <v>124</v>
      </c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446</v>
      </c>
      <c r="F3" s="22"/>
      <c r="G3" s="22"/>
      <c r="H3" s="22"/>
      <c r="I3" s="23"/>
      <c r="J3" s="32">
        <f t="shared" si="0"/>
        <v>0.5575</v>
      </c>
      <c r="K3" s="22"/>
      <c r="L3" s="22"/>
      <c r="M3" s="22"/>
      <c r="N3" s="23"/>
      <c r="O3" s="32">
        <v>1432</v>
      </c>
      <c r="P3" s="22"/>
      <c r="Q3" s="22"/>
      <c r="R3" s="22"/>
      <c r="S3" s="23"/>
      <c r="T3" s="36">
        <v>446</v>
      </c>
      <c r="U3" s="22"/>
      <c r="V3" s="22"/>
      <c r="W3" s="22"/>
      <c r="X3" s="23"/>
      <c r="Y3" s="24">
        <f t="shared" si="1"/>
        <v>0.59451799999999999</v>
      </c>
      <c r="Z3" s="22"/>
      <c r="AA3" s="22"/>
      <c r="AB3" s="22"/>
      <c r="AC3" s="23"/>
      <c r="AD3" s="24">
        <v>1450</v>
      </c>
      <c r="AE3" s="22"/>
      <c r="AF3" s="22"/>
      <c r="AG3" s="22"/>
      <c r="AH3" s="23"/>
      <c r="AI3" s="26">
        <v>1508</v>
      </c>
      <c r="AJ3" s="22"/>
      <c r="AK3" s="22"/>
      <c r="AL3" s="22"/>
      <c r="AM3" s="23"/>
      <c r="AN3" s="26">
        <v>1548</v>
      </c>
      <c r="AO3" s="22"/>
      <c r="AP3" s="22"/>
      <c r="AQ3" s="22"/>
      <c r="AR3" s="23"/>
      <c r="AS3" s="26" t="s">
        <v>123</v>
      </c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433</v>
      </c>
      <c r="F4" s="22"/>
      <c r="G4" s="22"/>
      <c r="H4" s="22"/>
      <c r="I4" s="23"/>
      <c r="J4" s="32">
        <f t="shared" si="0"/>
        <v>0.54125000000000001</v>
      </c>
      <c r="K4" s="22"/>
      <c r="L4" s="22"/>
      <c r="M4" s="22"/>
      <c r="N4" s="23"/>
      <c r="O4" s="32">
        <v>1605</v>
      </c>
      <c r="P4" s="22"/>
      <c r="Q4" s="22"/>
      <c r="R4" s="22"/>
      <c r="S4" s="23"/>
      <c r="T4" s="36">
        <v>433</v>
      </c>
      <c r="U4" s="22"/>
      <c r="V4" s="22"/>
      <c r="W4" s="22"/>
      <c r="X4" s="23"/>
      <c r="Y4" s="24">
        <f t="shared" si="1"/>
        <v>0.57718899999999995</v>
      </c>
      <c r="Z4" s="22"/>
      <c r="AA4" s="22"/>
      <c r="AB4" s="22"/>
      <c r="AC4" s="23"/>
      <c r="AD4" s="24">
        <v>1422</v>
      </c>
      <c r="AE4" s="22"/>
      <c r="AF4" s="22"/>
      <c r="AG4" s="22"/>
      <c r="AH4" s="23"/>
      <c r="AI4" s="26">
        <v>1647</v>
      </c>
      <c r="AJ4" s="22"/>
      <c r="AK4" s="22"/>
      <c r="AL4" s="22"/>
      <c r="AM4" s="23"/>
      <c r="AN4" s="26">
        <v>1727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434</v>
      </c>
      <c r="F5" s="22"/>
      <c r="G5" s="22"/>
      <c r="H5" s="22"/>
      <c r="I5" s="23"/>
      <c r="J5" s="32">
        <f t="shared" si="0"/>
        <v>0.54249999999999998</v>
      </c>
      <c r="K5" s="22"/>
      <c r="L5" s="22"/>
      <c r="M5" s="22"/>
      <c r="N5" s="23"/>
      <c r="O5" s="32">
        <v>1607</v>
      </c>
      <c r="P5" s="22"/>
      <c r="Q5" s="22"/>
      <c r="R5" s="22"/>
      <c r="S5" s="23"/>
      <c r="T5" s="36">
        <v>434</v>
      </c>
      <c r="U5" s="22"/>
      <c r="V5" s="22"/>
      <c r="W5" s="22"/>
      <c r="X5" s="23"/>
      <c r="Y5" s="24">
        <f t="shared" si="1"/>
        <v>0.57852199999999998</v>
      </c>
      <c r="Z5" s="22"/>
      <c r="AA5" s="22"/>
      <c r="AB5" s="22"/>
      <c r="AC5" s="23"/>
      <c r="AD5" s="24">
        <v>1525</v>
      </c>
      <c r="AE5" s="22"/>
      <c r="AF5" s="22"/>
      <c r="AG5" s="22"/>
      <c r="AH5" s="23"/>
      <c r="AI5" s="26">
        <v>1648</v>
      </c>
      <c r="AJ5" s="22"/>
      <c r="AK5" s="22"/>
      <c r="AL5" s="22"/>
      <c r="AM5" s="23"/>
      <c r="AN5" s="26">
        <v>1728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465</v>
      </c>
      <c r="F6" s="22"/>
      <c r="G6" s="22"/>
      <c r="H6" s="22"/>
      <c r="I6" s="23"/>
      <c r="J6" s="32">
        <f t="shared" si="0"/>
        <v>0.58125000000000004</v>
      </c>
      <c r="K6" s="22"/>
      <c r="L6" s="22"/>
      <c r="M6" s="22"/>
      <c r="N6" s="23"/>
      <c r="O6" s="32">
        <v>1608</v>
      </c>
      <c r="P6" s="22"/>
      <c r="Q6" s="22"/>
      <c r="R6" s="22"/>
      <c r="S6" s="23"/>
      <c r="T6" s="24">
        <v>465</v>
      </c>
      <c r="U6" s="22"/>
      <c r="V6" s="22"/>
      <c r="W6" s="22"/>
      <c r="X6" s="23"/>
      <c r="Y6" s="24">
        <f t="shared" si="1"/>
        <v>0.61984499999999998</v>
      </c>
      <c r="Z6" s="22"/>
      <c r="AA6" s="22"/>
      <c r="AB6" s="22"/>
      <c r="AC6" s="23"/>
      <c r="AD6" s="24">
        <v>1626</v>
      </c>
      <c r="AE6" s="22"/>
      <c r="AF6" s="22"/>
      <c r="AG6" s="22"/>
      <c r="AH6" s="23"/>
      <c r="AI6" s="26">
        <v>1649</v>
      </c>
      <c r="AJ6" s="22"/>
      <c r="AK6" s="22"/>
      <c r="AL6" s="22"/>
      <c r="AM6" s="23"/>
      <c r="AN6" s="26">
        <v>1729</v>
      </c>
      <c r="AO6" s="22"/>
      <c r="AP6" s="22"/>
      <c r="AQ6" s="22"/>
      <c r="AR6" s="23"/>
      <c r="AS6" s="26"/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413</v>
      </c>
      <c r="F7" s="22"/>
      <c r="G7" s="22"/>
      <c r="H7" s="22"/>
      <c r="I7" s="23"/>
      <c r="J7" s="32">
        <f t="shared" si="0"/>
        <v>0.51624999999999999</v>
      </c>
      <c r="K7" s="22"/>
      <c r="L7" s="22"/>
      <c r="M7" s="22"/>
      <c r="N7" s="23"/>
      <c r="O7" s="32">
        <v>1611</v>
      </c>
      <c r="P7" s="22"/>
      <c r="Q7" s="22"/>
      <c r="R7" s="22"/>
      <c r="S7" s="23"/>
      <c r="T7" s="24">
        <v>413</v>
      </c>
      <c r="U7" s="22"/>
      <c r="V7" s="22"/>
      <c r="W7" s="22"/>
      <c r="X7" s="23"/>
      <c r="Y7" s="24">
        <f t="shared" si="1"/>
        <v>0.55052900000000005</v>
      </c>
      <c r="Z7" s="22"/>
      <c r="AA7" s="22"/>
      <c r="AB7" s="22"/>
      <c r="AC7" s="23"/>
      <c r="AD7" s="24">
        <v>1628</v>
      </c>
      <c r="AE7" s="22"/>
      <c r="AF7" s="22"/>
      <c r="AG7" s="22"/>
      <c r="AH7" s="23"/>
      <c r="AI7" s="26">
        <v>1650</v>
      </c>
      <c r="AJ7" s="22"/>
      <c r="AK7" s="22"/>
      <c r="AL7" s="22"/>
      <c r="AM7" s="23"/>
      <c r="AN7" s="26">
        <v>1730</v>
      </c>
      <c r="AO7" s="22"/>
      <c r="AP7" s="22"/>
      <c r="AQ7" s="22"/>
      <c r="AR7" s="23"/>
      <c r="AS7" s="26"/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438</v>
      </c>
      <c r="F8" s="22"/>
      <c r="G8" s="22"/>
      <c r="H8" s="22"/>
      <c r="I8" s="23"/>
      <c r="J8" s="32">
        <f t="shared" si="0"/>
        <v>0.54749999999999999</v>
      </c>
      <c r="K8" s="22"/>
      <c r="L8" s="22"/>
      <c r="M8" s="22"/>
      <c r="N8" s="23"/>
      <c r="O8" s="32">
        <v>1613</v>
      </c>
      <c r="P8" s="22"/>
      <c r="Q8" s="22"/>
      <c r="R8" s="22"/>
      <c r="S8" s="23"/>
      <c r="T8" s="24">
        <v>438</v>
      </c>
      <c r="U8" s="22"/>
      <c r="V8" s="22"/>
      <c r="W8" s="22"/>
      <c r="X8" s="23"/>
      <c r="Y8" s="24">
        <f t="shared" si="1"/>
        <v>0.58385399999999998</v>
      </c>
      <c r="Z8" s="22"/>
      <c r="AA8" s="22"/>
      <c r="AB8" s="22"/>
      <c r="AC8" s="23"/>
      <c r="AD8" s="24">
        <v>1630</v>
      </c>
      <c r="AE8" s="22"/>
      <c r="AF8" s="22"/>
      <c r="AG8" s="22"/>
      <c r="AH8" s="23"/>
      <c r="AI8" s="26">
        <v>1651</v>
      </c>
      <c r="AJ8" s="22"/>
      <c r="AK8" s="22"/>
      <c r="AL8" s="22"/>
      <c r="AM8" s="23"/>
      <c r="AN8" s="26">
        <v>1731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285</v>
      </c>
      <c r="F9" s="22"/>
      <c r="G9" s="22"/>
      <c r="H9" s="22"/>
      <c r="I9" s="23"/>
      <c r="J9" s="32">
        <f t="shared" si="0"/>
        <v>0.35625000000000001</v>
      </c>
      <c r="K9" s="22"/>
      <c r="L9" s="22"/>
      <c r="M9" s="22"/>
      <c r="N9" s="23"/>
      <c r="O9" s="32">
        <v>1706</v>
      </c>
      <c r="P9" s="22"/>
      <c r="Q9" s="22"/>
      <c r="R9" s="22"/>
      <c r="S9" s="23"/>
      <c r="T9" s="24">
        <v>285</v>
      </c>
      <c r="U9" s="22"/>
      <c r="V9" s="22"/>
      <c r="W9" s="22"/>
      <c r="X9" s="23"/>
      <c r="Y9" s="24">
        <f t="shared" si="1"/>
        <v>0.37990499999999999</v>
      </c>
      <c r="Z9" s="22"/>
      <c r="AA9" s="22"/>
      <c r="AB9" s="22"/>
      <c r="AC9" s="23"/>
      <c r="AD9" s="24">
        <v>1723</v>
      </c>
      <c r="AE9" s="22"/>
      <c r="AF9" s="22"/>
      <c r="AG9" s="22"/>
      <c r="AH9" s="23"/>
      <c r="AI9" s="26">
        <v>1742</v>
      </c>
      <c r="AJ9" s="22"/>
      <c r="AK9" s="22"/>
      <c r="AL9" s="22"/>
      <c r="AM9" s="23"/>
      <c r="AN9" s="26">
        <v>1818</v>
      </c>
      <c r="AO9" s="22"/>
      <c r="AP9" s="22"/>
      <c r="AQ9" s="22"/>
      <c r="AR9" s="23"/>
      <c r="AS9" s="26"/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448</v>
      </c>
      <c r="F10" s="22"/>
      <c r="G10" s="22"/>
      <c r="H10" s="22"/>
      <c r="I10" s="23"/>
      <c r="J10" s="32">
        <f t="shared" si="0"/>
        <v>0.56000000000000005</v>
      </c>
      <c r="K10" s="22"/>
      <c r="L10" s="22"/>
      <c r="M10" s="22"/>
      <c r="N10" s="23"/>
      <c r="O10" s="32">
        <v>1101</v>
      </c>
      <c r="P10" s="22"/>
      <c r="Q10" s="22"/>
      <c r="R10" s="22"/>
      <c r="S10" s="23"/>
      <c r="T10" s="24">
        <v>448</v>
      </c>
      <c r="U10" s="22"/>
      <c r="V10" s="22"/>
      <c r="W10" s="22"/>
      <c r="X10" s="23"/>
      <c r="Y10" s="24">
        <f t="shared" si="1"/>
        <v>0.59718399999999994</v>
      </c>
      <c r="Z10" s="22"/>
      <c r="AA10" s="22"/>
      <c r="AB10" s="22"/>
      <c r="AC10" s="23"/>
      <c r="AD10" s="24">
        <v>1124</v>
      </c>
      <c r="AE10" s="22"/>
      <c r="AF10" s="22"/>
      <c r="AG10" s="22"/>
      <c r="AH10" s="23"/>
      <c r="AI10" s="26">
        <v>1145</v>
      </c>
      <c r="AJ10" s="22"/>
      <c r="AK10" s="22"/>
      <c r="AL10" s="22"/>
      <c r="AM10" s="23"/>
      <c r="AN10" s="26">
        <v>1225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451</v>
      </c>
      <c r="F11" s="22"/>
      <c r="G11" s="22"/>
      <c r="H11" s="22"/>
      <c r="I11" s="23"/>
      <c r="J11" s="32">
        <f t="shared" si="0"/>
        <v>0.56374999999999997</v>
      </c>
      <c r="K11" s="22"/>
      <c r="L11" s="22"/>
      <c r="M11" s="22"/>
      <c r="N11" s="23"/>
      <c r="O11" s="32">
        <v>1104</v>
      </c>
      <c r="P11" s="22"/>
      <c r="Q11" s="22"/>
      <c r="R11" s="22"/>
      <c r="S11" s="23"/>
      <c r="T11" s="36">
        <v>451</v>
      </c>
      <c r="U11" s="22"/>
      <c r="V11" s="22"/>
      <c r="W11" s="22"/>
      <c r="X11" s="23"/>
      <c r="Y11" s="24">
        <f t="shared" si="1"/>
        <v>0.60118300000000002</v>
      </c>
      <c r="Z11" s="22"/>
      <c r="AA11" s="22"/>
      <c r="AB11" s="22"/>
      <c r="AC11" s="23"/>
      <c r="AD11" s="24">
        <v>1126</v>
      </c>
      <c r="AE11" s="22"/>
      <c r="AF11" s="22"/>
      <c r="AG11" s="22"/>
      <c r="AH11" s="23"/>
      <c r="AI11" s="26">
        <v>1146</v>
      </c>
      <c r="AJ11" s="22"/>
      <c r="AK11" s="22"/>
      <c r="AL11" s="22"/>
      <c r="AM11" s="23"/>
      <c r="AN11" s="26">
        <v>1226</v>
      </c>
      <c r="AO11" s="22"/>
      <c r="AP11" s="22"/>
      <c r="AQ11" s="22"/>
      <c r="AR11" s="23"/>
      <c r="AS11" s="26"/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453</v>
      </c>
      <c r="F12" s="22"/>
      <c r="G12" s="22"/>
      <c r="H12" s="22"/>
      <c r="I12" s="23"/>
      <c r="J12" s="32">
        <f t="shared" si="0"/>
        <v>0.56625000000000003</v>
      </c>
      <c r="K12" s="22"/>
      <c r="L12" s="22"/>
      <c r="M12" s="22"/>
      <c r="N12" s="23"/>
      <c r="O12" s="32">
        <v>1211</v>
      </c>
      <c r="P12" s="22"/>
      <c r="Q12" s="22"/>
      <c r="R12" s="22"/>
      <c r="S12" s="23"/>
      <c r="T12" s="36">
        <v>453</v>
      </c>
      <c r="U12" s="22"/>
      <c r="V12" s="22"/>
      <c r="W12" s="22"/>
      <c r="X12" s="23"/>
      <c r="Y12" s="24">
        <f t="shared" si="1"/>
        <v>0.60384899999999997</v>
      </c>
      <c r="Z12" s="22"/>
      <c r="AA12" s="22"/>
      <c r="AB12" s="22"/>
      <c r="AC12" s="23"/>
      <c r="AD12" s="24">
        <v>1238</v>
      </c>
      <c r="AE12" s="22"/>
      <c r="AF12" s="22"/>
      <c r="AG12" s="22"/>
      <c r="AH12" s="23"/>
      <c r="AI12" s="26">
        <v>1254</v>
      </c>
      <c r="AJ12" s="22"/>
      <c r="AK12" s="22"/>
      <c r="AL12" s="22"/>
      <c r="AM12" s="23"/>
      <c r="AN12" s="26">
        <v>1334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517</v>
      </c>
      <c r="F13" s="22"/>
      <c r="G13" s="22"/>
      <c r="H13" s="22"/>
      <c r="I13" s="23"/>
      <c r="J13" s="32">
        <f t="shared" si="0"/>
        <v>0.64624999999999999</v>
      </c>
      <c r="K13" s="22"/>
      <c r="L13" s="22"/>
      <c r="M13" s="22"/>
      <c r="N13" s="23"/>
      <c r="O13" s="32">
        <v>1213</v>
      </c>
      <c r="P13" s="22"/>
      <c r="Q13" s="22"/>
      <c r="R13" s="22"/>
      <c r="S13" s="23"/>
      <c r="T13" s="36">
        <v>517</v>
      </c>
      <c r="U13" s="22"/>
      <c r="V13" s="22"/>
      <c r="W13" s="22"/>
      <c r="X13" s="23"/>
      <c r="Y13" s="24">
        <f t="shared" si="1"/>
        <v>0.68916100000000002</v>
      </c>
      <c r="Z13" s="22"/>
      <c r="AA13" s="22"/>
      <c r="AB13" s="22"/>
      <c r="AC13" s="23"/>
      <c r="AD13" s="24">
        <v>1240</v>
      </c>
      <c r="AE13" s="22"/>
      <c r="AF13" s="22"/>
      <c r="AG13" s="22"/>
      <c r="AH13" s="23"/>
      <c r="AI13" s="26">
        <v>1255</v>
      </c>
      <c r="AJ13" s="22"/>
      <c r="AK13" s="22"/>
      <c r="AL13" s="22"/>
      <c r="AM13" s="23"/>
      <c r="AN13" s="26">
        <v>1335</v>
      </c>
      <c r="AO13" s="22"/>
      <c r="AP13" s="22"/>
      <c r="AQ13" s="22"/>
      <c r="AR13" s="23"/>
      <c r="AS13" s="26"/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294</v>
      </c>
      <c r="F14" s="22"/>
      <c r="G14" s="22"/>
      <c r="H14" s="22"/>
      <c r="I14" s="23"/>
      <c r="J14" s="32">
        <f t="shared" si="0"/>
        <v>0.36749999999999999</v>
      </c>
      <c r="K14" s="22"/>
      <c r="L14" s="22"/>
      <c r="M14" s="22"/>
      <c r="N14" s="23"/>
      <c r="O14" s="32">
        <v>1214</v>
      </c>
      <c r="P14" s="22"/>
      <c r="Q14" s="22"/>
      <c r="R14" s="22"/>
      <c r="S14" s="23"/>
      <c r="T14" s="24">
        <v>294</v>
      </c>
      <c r="U14" s="22"/>
      <c r="V14" s="22"/>
      <c r="W14" s="22"/>
      <c r="X14" s="23"/>
      <c r="Y14" s="24">
        <f t="shared" si="1"/>
        <v>0.39190199999999997</v>
      </c>
      <c r="Z14" s="22"/>
      <c r="AA14" s="22"/>
      <c r="AB14" s="22"/>
      <c r="AC14" s="23"/>
      <c r="AD14" s="24">
        <v>1241</v>
      </c>
      <c r="AE14" s="22"/>
      <c r="AF14" s="22"/>
      <c r="AG14" s="22"/>
      <c r="AH14" s="23"/>
      <c r="AI14" s="26">
        <v>1256</v>
      </c>
      <c r="AJ14" s="22"/>
      <c r="AK14" s="22"/>
      <c r="AL14" s="22"/>
      <c r="AM14" s="23"/>
      <c r="AN14" s="26">
        <v>1336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276</v>
      </c>
      <c r="F15" s="22"/>
      <c r="G15" s="22"/>
      <c r="H15" s="22"/>
      <c r="I15" s="23"/>
      <c r="J15" s="32">
        <f t="shared" si="0"/>
        <v>0.34500000000000003</v>
      </c>
      <c r="K15" s="22"/>
      <c r="L15" s="22"/>
      <c r="M15" s="22"/>
      <c r="N15" s="23"/>
      <c r="O15" s="32">
        <v>1218</v>
      </c>
      <c r="P15" s="22"/>
      <c r="Q15" s="22"/>
      <c r="R15" s="22"/>
      <c r="S15" s="23"/>
      <c r="T15" s="24">
        <v>276</v>
      </c>
      <c r="U15" s="22"/>
      <c r="V15" s="22"/>
      <c r="W15" s="22"/>
      <c r="X15" s="23"/>
      <c r="Y15" s="24">
        <f t="shared" si="1"/>
        <v>0.36790800000000001</v>
      </c>
      <c r="Z15" s="22"/>
      <c r="AA15" s="22"/>
      <c r="AB15" s="22"/>
      <c r="AC15" s="23"/>
      <c r="AD15" s="24">
        <v>1244</v>
      </c>
      <c r="AE15" s="22"/>
      <c r="AF15" s="22"/>
      <c r="AG15" s="22"/>
      <c r="AH15" s="23"/>
      <c r="AI15" s="26">
        <v>1257</v>
      </c>
      <c r="AJ15" s="22"/>
      <c r="AK15" s="22"/>
      <c r="AL15" s="22"/>
      <c r="AM15" s="23"/>
      <c r="AN15" s="26">
        <v>1337</v>
      </c>
      <c r="AO15" s="22"/>
      <c r="AP15" s="22"/>
      <c r="AQ15" s="22"/>
      <c r="AR15" s="23"/>
      <c r="AS15" s="26" t="s">
        <v>120</v>
      </c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456</v>
      </c>
      <c r="F16" s="22"/>
      <c r="G16" s="22"/>
      <c r="H16" s="22"/>
      <c r="I16" s="23"/>
      <c r="J16" s="32">
        <f t="shared" si="0"/>
        <v>0.57000000000000006</v>
      </c>
      <c r="K16" s="22"/>
      <c r="L16" s="22"/>
      <c r="M16" s="22"/>
      <c r="N16" s="23"/>
      <c r="O16" s="32">
        <v>1222</v>
      </c>
      <c r="P16" s="22"/>
      <c r="Q16" s="22"/>
      <c r="R16" s="22"/>
      <c r="S16" s="23"/>
      <c r="T16" s="24">
        <v>456</v>
      </c>
      <c r="U16" s="22"/>
      <c r="V16" s="22"/>
      <c r="W16" s="22"/>
      <c r="X16" s="23"/>
      <c r="Y16" s="24">
        <f t="shared" si="1"/>
        <v>0.60784799999999994</v>
      </c>
      <c r="Z16" s="22"/>
      <c r="AA16" s="22"/>
      <c r="AB16" s="22"/>
      <c r="AC16" s="23"/>
      <c r="AD16" s="24">
        <v>1246</v>
      </c>
      <c r="AE16" s="22"/>
      <c r="AF16" s="22"/>
      <c r="AG16" s="22"/>
      <c r="AH16" s="23"/>
      <c r="AI16" s="26">
        <v>1258</v>
      </c>
      <c r="AJ16" s="22"/>
      <c r="AK16" s="22"/>
      <c r="AL16" s="22"/>
      <c r="AM16" s="23"/>
      <c r="AN16" s="26">
        <v>1338</v>
      </c>
      <c r="AO16" s="22"/>
      <c r="AP16" s="22"/>
      <c r="AQ16" s="22"/>
      <c r="AR16" s="23"/>
      <c r="AS16" s="26"/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226</v>
      </c>
      <c r="F17" s="22"/>
      <c r="G17" s="22"/>
      <c r="H17" s="22"/>
      <c r="I17" s="23"/>
      <c r="J17" s="32">
        <f t="shared" si="0"/>
        <v>0.28250000000000003</v>
      </c>
      <c r="K17" s="22"/>
      <c r="L17" s="22"/>
      <c r="M17" s="22"/>
      <c r="N17" s="23"/>
      <c r="O17" s="32">
        <v>1323</v>
      </c>
      <c r="P17" s="22"/>
      <c r="Q17" s="22"/>
      <c r="R17" s="22"/>
      <c r="S17" s="23"/>
      <c r="T17" s="24">
        <v>226</v>
      </c>
      <c r="U17" s="22"/>
      <c r="V17" s="22"/>
      <c r="W17" s="22"/>
      <c r="X17" s="23"/>
      <c r="Y17" s="24">
        <f t="shared" si="1"/>
        <v>0.30125799999999997</v>
      </c>
      <c r="Z17" s="22"/>
      <c r="AA17" s="22"/>
      <c r="AB17" s="22"/>
      <c r="AC17" s="23"/>
      <c r="AD17" s="24">
        <v>1343</v>
      </c>
      <c r="AE17" s="22"/>
      <c r="AF17" s="22"/>
      <c r="AG17" s="22"/>
      <c r="AH17" s="23"/>
      <c r="AI17" s="26">
        <v>1400</v>
      </c>
      <c r="AJ17" s="22"/>
      <c r="AK17" s="22"/>
      <c r="AL17" s="22"/>
      <c r="AM17" s="23"/>
      <c r="AN17" s="26">
        <v>1440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>
        <v>485</v>
      </c>
      <c r="F18" s="22"/>
      <c r="G18" s="22"/>
      <c r="H18" s="22"/>
      <c r="I18" s="23"/>
      <c r="J18" s="32">
        <f t="shared" ref="J18:J25" si="2">E18*0.0012</f>
        <v>0.58199999999999996</v>
      </c>
      <c r="K18" s="22"/>
      <c r="L18" s="22"/>
      <c r="M18" s="22"/>
      <c r="N18" s="23"/>
      <c r="O18" s="31">
        <v>953</v>
      </c>
      <c r="P18" s="22"/>
      <c r="Q18" s="22"/>
      <c r="R18" s="22"/>
      <c r="S18" s="23"/>
      <c r="T18" s="25">
        <v>485</v>
      </c>
      <c r="U18" s="22"/>
      <c r="V18" s="22"/>
      <c r="W18" s="22"/>
      <c r="X18" s="23"/>
      <c r="Y18" s="24">
        <f t="shared" si="1"/>
        <v>0.646505</v>
      </c>
      <c r="Z18" s="22"/>
      <c r="AA18" s="22"/>
      <c r="AB18" s="22"/>
      <c r="AC18" s="23"/>
      <c r="AD18" s="37">
        <v>1018</v>
      </c>
      <c r="AE18" s="22"/>
      <c r="AF18" s="22"/>
      <c r="AG18" s="22"/>
      <c r="AH18" s="23"/>
      <c r="AI18" s="21">
        <v>1040</v>
      </c>
      <c r="AJ18" s="22"/>
      <c r="AK18" s="22"/>
      <c r="AL18" s="22"/>
      <c r="AM18" s="23"/>
      <c r="AN18" s="21">
        <v>1120</v>
      </c>
      <c r="AO18" s="22"/>
      <c r="AP18" s="22"/>
      <c r="AQ18" s="22"/>
      <c r="AR18" s="23"/>
      <c r="AS18" s="30" t="s">
        <v>121</v>
      </c>
      <c r="AT18" s="22"/>
      <c r="AU18" s="22"/>
      <c r="AV18" s="22"/>
      <c r="AW18" s="23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>
        <v>424</v>
      </c>
      <c r="F19" s="22"/>
      <c r="G19" s="22"/>
      <c r="H19" s="22"/>
      <c r="I19" s="23"/>
      <c r="J19" s="32">
        <f t="shared" si="2"/>
        <v>0.50879999999999992</v>
      </c>
      <c r="K19" s="22"/>
      <c r="L19" s="22"/>
      <c r="M19" s="22"/>
      <c r="N19" s="23"/>
      <c r="O19" s="31">
        <v>955</v>
      </c>
      <c r="P19" s="22"/>
      <c r="Q19" s="22"/>
      <c r="R19" s="22"/>
      <c r="S19" s="23"/>
      <c r="T19" s="34">
        <v>424</v>
      </c>
      <c r="U19" s="22"/>
      <c r="V19" s="22"/>
      <c r="W19" s="22"/>
      <c r="X19" s="23"/>
      <c r="Y19" s="24">
        <f t="shared" si="1"/>
        <v>0.56519200000000003</v>
      </c>
      <c r="Z19" s="22"/>
      <c r="AA19" s="22"/>
      <c r="AB19" s="22"/>
      <c r="AC19" s="23"/>
      <c r="AD19" s="25">
        <v>1020</v>
      </c>
      <c r="AE19" s="22"/>
      <c r="AF19" s="22"/>
      <c r="AG19" s="22"/>
      <c r="AH19" s="23"/>
      <c r="AI19" s="21">
        <v>1041</v>
      </c>
      <c r="AJ19" s="22"/>
      <c r="AK19" s="22"/>
      <c r="AL19" s="22"/>
      <c r="AM19" s="23"/>
      <c r="AN19" s="21">
        <v>1121</v>
      </c>
      <c r="AO19" s="22"/>
      <c r="AP19" s="22"/>
      <c r="AQ19" s="22"/>
      <c r="AR19" s="23"/>
      <c r="AS19" s="21"/>
      <c r="AT19" s="22"/>
      <c r="AU19" s="22"/>
      <c r="AV19" s="22"/>
      <c r="AW19" s="23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>
        <v>274</v>
      </c>
      <c r="F20" s="22"/>
      <c r="G20" s="22"/>
      <c r="H20" s="22"/>
      <c r="I20" s="23"/>
      <c r="J20" s="32">
        <f t="shared" si="2"/>
        <v>0.32879999999999998</v>
      </c>
      <c r="K20" s="22"/>
      <c r="L20" s="22"/>
      <c r="M20" s="22"/>
      <c r="N20" s="23"/>
      <c r="O20" s="31">
        <v>1001</v>
      </c>
      <c r="P20" s="22"/>
      <c r="Q20" s="22"/>
      <c r="R20" s="22"/>
      <c r="S20" s="23"/>
      <c r="T20" s="34">
        <v>274</v>
      </c>
      <c r="U20" s="22"/>
      <c r="V20" s="22"/>
      <c r="W20" s="22"/>
      <c r="X20" s="23"/>
      <c r="Y20" s="24">
        <f t="shared" si="1"/>
        <v>0.36524200000000001</v>
      </c>
      <c r="Z20" s="22"/>
      <c r="AA20" s="22"/>
      <c r="AB20" s="22"/>
      <c r="AC20" s="23"/>
      <c r="AD20" s="25">
        <v>1023</v>
      </c>
      <c r="AE20" s="22"/>
      <c r="AF20" s="22"/>
      <c r="AG20" s="22"/>
      <c r="AH20" s="23"/>
      <c r="AI20" s="21">
        <v>1042</v>
      </c>
      <c r="AJ20" s="22"/>
      <c r="AK20" s="22"/>
      <c r="AL20" s="22"/>
      <c r="AM20" s="23"/>
      <c r="AN20" s="21">
        <v>1122</v>
      </c>
      <c r="AO20" s="22"/>
      <c r="AP20" s="22"/>
      <c r="AQ20" s="22"/>
      <c r="AR20" s="23"/>
      <c r="AS20" s="21"/>
      <c r="AT20" s="22"/>
      <c r="AU20" s="22"/>
      <c r="AV20" s="22"/>
      <c r="AW20" s="23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>
        <v>280</v>
      </c>
      <c r="F21" s="22"/>
      <c r="G21" s="22"/>
      <c r="H21" s="22"/>
      <c r="I21" s="23"/>
      <c r="J21" s="32">
        <f t="shared" si="2"/>
        <v>0.33599999999999997</v>
      </c>
      <c r="K21" s="22"/>
      <c r="L21" s="22"/>
      <c r="M21" s="22"/>
      <c r="N21" s="23"/>
      <c r="O21" s="31">
        <v>1003</v>
      </c>
      <c r="P21" s="22"/>
      <c r="Q21" s="22"/>
      <c r="R21" s="22"/>
      <c r="S21" s="23"/>
      <c r="T21" s="34">
        <v>280</v>
      </c>
      <c r="U21" s="22"/>
      <c r="V21" s="22"/>
      <c r="W21" s="22"/>
      <c r="X21" s="23"/>
      <c r="Y21" s="24">
        <f t="shared" si="1"/>
        <v>0.37324000000000002</v>
      </c>
      <c r="Z21" s="22"/>
      <c r="AA21" s="22"/>
      <c r="AB21" s="22"/>
      <c r="AC21" s="23"/>
      <c r="AD21" s="25">
        <v>1024</v>
      </c>
      <c r="AE21" s="22"/>
      <c r="AF21" s="22"/>
      <c r="AG21" s="22"/>
      <c r="AH21" s="23"/>
      <c r="AI21" s="21">
        <v>1043</v>
      </c>
      <c r="AJ21" s="22"/>
      <c r="AK21" s="22"/>
      <c r="AL21" s="22"/>
      <c r="AM21" s="23"/>
      <c r="AN21" s="21">
        <v>1123</v>
      </c>
      <c r="AO21" s="22"/>
      <c r="AP21" s="22"/>
      <c r="AQ21" s="22"/>
      <c r="AR21" s="23"/>
      <c r="AS21" s="21"/>
      <c r="AT21" s="22"/>
      <c r="AU21" s="22"/>
      <c r="AV21" s="22"/>
      <c r="AW21" s="23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>
        <v>297</v>
      </c>
      <c r="F22" s="22"/>
      <c r="G22" s="22"/>
      <c r="H22" s="22"/>
      <c r="I22" s="23"/>
      <c r="J22" s="32">
        <f t="shared" si="2"/>
        <v>0.35639999999999999</v>
      </c>
      <c r="K22" s="22"/>
      <c r="L22" s="22"/>
      <c r="M22" s="22"/>
      <c r="N22" s="23"/>
      <c r="O22" s="31">
        <v>1004</v>
      </c>
      <c r="P22" s="22"/>
      <c r="Q22" s="22"/>
      <c r="R22" s="22"/>
      <c r="S22" s="23"/>
      <c r="T22" s="25">
        <v>297</v>
      </c>
      <c r="U22" s="22"/>
      <c r="V22" s="22"/>
      <c r="W22" s="22"/>
      <c r="X22" s="23"/>
      <c r="Y22" s="24">
        <f t="shared" si="1"/>
        <v>0.395901</v>
      </c>
      <c r="Z22" s="22"/>
      <c r="AA22" s="22"/>
      <c r="AB22" s="22"/>
      <c r="AC22" s="23"/>
      <c r="AD22" s="25">
        <v>1027</v>
      </c>
      <c r="AE22" s="22"/>
      <c r="AF22" s="22"/>
      <c r="AG22" s="22"/>
      <c r="AH22" s="23"/>
      <c r="AI22" s="21">
        <v>1044</v>
      </c>
      <c r="AJ22" s="22"/>
      <c r="AK22" s="22"/>
      <c r="AL22" s="22"/>
      <c r="AM22" s="23"/>
      <c r="AN22" s="21">
        <v>1124</v>
      </c>
      <c r="AO22" s="22"/>
      <c r="AP22" s="22"/>
      <c r="AQ22" s="22"/>
      <c r="AR22" s="23"/>
      <c r="AS22" s="21"/>
      <c r="AT22" s="22"/>
      <c r="AU22" s="22"/>
      <c r="AV22" s="22"/>
      <c r="AW22" s="23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>
        <v>278</v>
      </c>
      <c r="F23" s="22"/>
      <c r="G23" s="22"/>
      <c r="H23" s="22"/>
      <c r="I23" s="23"/>
      <c r="J23" s="32">
        <f t="shared" si="2"/>
        <v>0.33359999999999995</v>
      </c>
      <c r="K23" s="22"/>
      <c r="L23" s="22"/>
      <c r="M23" s="22"/>
      <c r="N23" s="23"/>
      <c r="O23" s="31">
        <v>1056</v>
      </c>
      <c r="P23" s="22"/>
      <c r="Q23" s="22"/>
      <c r="R23" s="22"/>
      <c r="S23" s="23"/>
      <c r="T23" s="25">
        <v>278</v>
      </c>
      <c r="U23" s="22"/>
      <c r="V23" s="22"/>
      <c r="W23" s="22"/>
      <c r="X23" s="23"/>
      <c r="Y23" s="24">
        <f t="shared" si="1"/>
        <v>0.37057400000000001</v>
      </c>
      <c r="Z23" s="22"/>
      <c r="AA23" s="22"/>
      <c r="AB23" s="22"/>
      <c r="AC23" s="23"/>
      <c r="AD23" s="37">
        <v>1119</v>
      </c>
      <c r="AE23" s="22"/>
      <c r="AF23" s="22"/>
      <c r="AG23" s="22"/>
      <c r="AH23" s="23"/>
      <c r="AI23" s="21">
        <v>1142</v>
      </c>
      <c r="AJ23" s="22"/>
      <c r="AK23" s="22"/>
      <c r="AL23" s="22"/>
      <c r="AM23" s="23"/>
      <c r="AN23" s="21">
        <v>1222</v>
      </c>
      <c r="AO23" s="22"/>
      <c r="AP23" s="22"/>
      <c r="AQ23" s="22"/>
      <c r="AR23" s="23"/>
      <c r="AS23" s="30" t="s">
        <v>122</v>
      </c>
      <c r="AT23" s="22"/>
      <c r="AU23" s="22"/>
      <c r="AV23" s="22"/>
      <c r="AW23" s="23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>
        <v>416</v>
      </c>
      <c r="F24" s="22"/>
      <c r="G24" s="22"/>
      <c r="H24" s="22"/>
      <c r="I24" s="23"/>
      <c r="J24" s="32">
        <f t="shared" si="2"/>
        <v>0.49919999999999998</v>
      </c>
      <c r="K24" s="22"/>
      <c r="L24" s="22"/>
      <c r="M24" s="22"/>
      <c r="N24" s="23"/>
      <c r="O24" s="31">
        <v>1057</v>
      </c>
      <c r="P24" s="22"/>
      <c r="Q24" s="22"/>
      <c r="R24" s="22"/>
      <c r="S24" s="23"/>
      <c r="T24" s="25">
        <v>416</v>
      </c>
      <c r="U24" s="22"/>
      <c r="V24" s="22"/>
      <c r="W24" s="22"/>
      <c r="X24" s="23"/>
      <c r="Y24" s="24">
        <f t="shared" si="1"/>
        <v>0.55452800000000002</v>
      </c>
      <c r="Z24" s="22"/>
      <c r="AA24" s="22"/>
      <c r="AB24" s="22"/>
      <c r="AC24" s="23"/>
      <c r="AD24" s="25">
        <v>1120</v>
      </c>
      <c r="AE24" s="22"/>
      <c r="AF24" s="22"/>
      <c r="AG24" s="22"/>
      <c r="AH24" s="23"/>
      <c r="AI24" s="21">
        <v>1143</v>
      </c>
      <c r="AJ24" s="22"/>
      <c r="AK24" s="22"/>
      <c r="AL24" s="22"/>
      <c r="AM24" s="23"/>
      <c r="AN24" s="21">
        <v>1223</v>
      </c>
      <c r="AO24" s="22"/>
      <c r="AP24" s="22"/>
      <c r="AQ24" s="22"/>
      <c r="AR24" s="23"/>
      <c r="AS24" s="21"/>
      <c r="AT24" s="22"/>
      <c r="AU24" s="22"/>
      <c r="AV24" s="22"/>
      <c r="AW24" s="23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>
        <v>278</v>
      </c>
      <c r="F25" s="22"/>
      <c r="G25" s="22"/>
      <c r="H25" s="22"/>
      <c r="I25" s="23"/>
      <c r="J25" s="32">
        <f t="shared" si="2"/>
        <v>0.33359999999999995</v>
      </c>
      <c r="K25" s="22"/>
      <c r="L25" s="22"/>
      <c r="M25" s="22"/>
      <c r="N25" s="23"/>
      <c r="O25" s="31">
        <v>1058</v>
      </c>
      <c r="P25" s="22"/>
      <c r="Q25" s="22"/>
      <c r="R25" s="22"/>
      <c r="S25" s="23"/>
      <c r="T25" s="25">
        <v>278</v>
      </c>
      <c r="U25" s="22"/>
      <c r="V25" s="22"/>
      <c r="W25" s="22"/>
      <c r="X25" s="23"/>
      <c r="Y25" s="24">
        <f t="shared" si="1"/>
        <v>0.37057400000000001</v>
      </c>
      <c r="Z25" s="22"/>
      <c r="AA25" s="22"/>
      <c r="AB25" s="22"/>
      <c r="AC25" s="23"/>
      <c r="AD25" s="25">
        <v>1122</v>
      </c>
      <c r="AE25" s="22"/>
      <c r="AF25" s="22"/>
      <c r="AG25" s="22"/>
      <c r="AH25" s="23"/>
      <c r="AI25" s="21">
        <v>1144</v>
      </c>
      <c r="AJ25" s="22"/>
      <c r="AK25" s="22"/>
      <c r="AL25" s="22"/>
      <c r="AM25" s="23"/>
      <c r="AN25" s="21">
        <v>1224</v>
      </c>
      <c r="AO25" s="22"/>
      <c r="AP25" s="22"/>
      <c r="AQ25" s="22"/>
      <c r="AR25" s="23"/>
      <c r="AS25" s="21"/>
      <c r="AT25" s="22"/>
      <c r="AU25" s="22"/>
      <c r="AV25" s="22"/>
      <c r="AW25" s="23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281</v>
      </c>
      <c r="F26" s="22"/>
      <c r="G26" s="22"/>
      <c r="H26" s="22"/>
      <c r="I26" s="23"/>
      <c r="J26" s="32">
        <f t="shared" ref="J26:J39" si="3">E26*0.00125</f>
        <v>0.35125000000000001</v>
      </c>
      <c r="K26" s="22"/>
      <c r="L26" s="22"/>
      <c r="M26" s="22"/>
      <c r="N26" s="23"/>
      <c r="O26" s="31">
        <v>1809</v>
      </c>
      <c r="P26" s="22"/>
      <c r="Q26" s="22"/>
      <c r="R26" s="22"/>
      <c r="S26" s="23"/>
      <c r="T26" s="25">
        <v>281</v>
      </c>
      <c r="U26" s="22"/>
      <c r="V26" s="22"/>
      <c r="W26" s="22"/>
      <c r="X26" s="23"/>
      <c r="Y26" s="24">
        <f t="shared" si="1"/>
        <v>0.37457299999999999</v>
      </c>
      <c r="Z26" s="22"/>
      <c r="AA26" s="22"/>
      <c r="AB26" s="22"/>
      <c r="AC26" s="23"/>
      <c r="AD26" s="25">
        <v>1823</v>
      </c>
      <c r="AE26" s="22"/>
      <c r="AF26" s="22"/>
      <c r="AG26" s="22"/>
      <c r="AH26" s="23"/>
      <c r="AI26" s="21">
        <v>1840</v>
      </c>
      <c r="AJ26" s="22"/>
      <c r="AK26" s="22"/>
      <c r="AL26" s="22"/>
      <c r="AM26" s="23"/>
      <c r="AN26" s="21">
        <v>1920</v>
      </c>
      <c r="AO26" s="22"/>
      <c r="AP26" s="22"/>
      <c r="AQ26" s="22"/>
      <c r="AR26" s="23"/>
      <c r="AS26" s="21"/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271</v>
      </c>
      <c r="F27" s="22"/>
      <c r="G27" s="22"/>
      <c r="H27" s="22"/>
      <c r="I27" s="23"/>
      <c r="J27" s="32">
        <f t="shared" si="3"/>
        <v>0.33875</v>
      </c>
      <c r="K27" s="22"/>
      <c r="L27" s="22"/>
      <c r="M27" s="22"/>
      <c r="N27" s="23"/>
      <c r="O27" s="31">
        <v>1812</v>
      </c>
      <c r="P27" s="22"/>
      <c r="Q27" s="22"/>
      <c r="R27" s="22"/>
      <c r="S27" s="23"/>
      <c r="T27" s="34">
        <v>271</v>
      </c>
      <c r="U27" s="22"/>
      <c r="V27" s="22"/>
      <c r="W27" s="22"/>
      <c r="X27" s="23"/>
      <c r="Y27" s="24">
        <f t="shared" si="1"/>
        <v>0.36124299999999998</v>
      </c>
      <c r="Z27" s="22"/>
      <c r="AA27" s="22"/>
      <c r="AB27" s="22"/>
      <c r="AC27" s="23"/>
      <c r="AD27" s="25">
        <v>1625</v>
      </c>
      <c r="AE27" s="22"/>
      <c r="AF27" s="22"/>
      <c r="AG27" s="22"/>
      <c r="AH27" s="23"/>
      <c r="AI27" s="21">
        <v>1841</v>
      </c>
      <c r="AJ27" s="22"/>
      <c r="AK27" s="22"/>
      <c r="AL27" s="22"/>
      <c r="AM27" s="23"/>
      <c r="AN27" s="21">
        <v>1921</v>
      </c>
      <c r="AO27" s="22"/>
      <c r="AP27" s="22"/>
      <c r="AQ27" s="22"/>
      <c r="AR27" s="23"/>
      <c r="AS27" s="21"/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270</v>
      </c>
      <c r="F28" s="22"/>
      <c r="G28" s="22"/>
      <c r="H28" s="22"/>
      <c r="I28" s="23"/>
      <c r="J28" s="32">
        <f t="shared" si="3"/>
        <v>0.33750000000000002</v>
      </c>
      <c r="K28" s="22"/>
      <c r="L28" s="22"/>
      <c r="M28" s="22"/>
      <c r="N28" s="23"/>
      <c r="O28" s="31">
        <v>1902</v>
      </c>
      <c r="P28" s="22"/>
      <c r="Q28" s="22"/>
      <c r="R28" s="22"/>
      <c r="S28" s="23"/>
      <c r="T28" s="34">
        <v>270</v>
      </c>
      <c r="U28" s="22"/>
      <c r="V28" s="22"/>
      <c r="W28" s="22"/>
      <c r="X28" s="23"/>
      <c r="Y28" s="24">
        <f t="shared" si="1"/>
        <v>0.35991000000000001</v>
      </c>
      <c r="Z28" s="22"/>
      <c r="AA28" s="22"/>
      <c r="AB28" s="22"/>
      <c r="AC28" s="23"/>
      <c r="AD28" s="25">
        <v>1918</v>
      </c>
      <c r="AE28" s="22"/>
      <c r="AF28" s="22"/>
      <c r="AG28" s="22"/>
      <c r="AH28" s="23"/>
      <c r="AI28" s="21">
        <v>1926</v>
      </c>
      <c r="AJ28" s="22"/>
      <c r="AK28" s="22"/>
      <c r="AL28" s="22"/>
      <c r="AM28" s="23"/>
      <c r="AN28" s="21">
        <v>2016</v>
      </c>
      <c r="AO28" s="22"/>
      <c r="AP28" s="22"/>
      <c r="AQ28" s="22"/>
      <c r="AR28" s="23"/>
      <c r="AS28" s="21"/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255</v>
      </c>
      <c r="F29" s="22"/>
      <c r="G29" s="22"/>
      <c r="H29" s="22"/>
      <c r="I29" s="23"/>
      <c r="J29" s="32">
        <f t="shared" si="3"/>
        <v>0.31875000000000003</v>
      </c>
      <c r="K29" s="22"/>
      <c r="L29" s="22"/>
      <c r="M29" s="22"/>
      <c r="N29" s="23"/>
      <c r="O29" s="31">
        <v>1905</v>
      </c>
      <c r="P29" s="22"/>
      <c r="Q29" s="22"/>
      <c r="R29" s="22"/>
      <c r="S29" s="23"/>
      <c r="T29" s="34">
        <v>255</v>
      </c>
      <c r="U29" s="22"/>
      <c r="V29" s="22"/>
      <c r="W29" s="22"/>
      <c r="X29" s="23"/>
      <c r="Y29" s="24">
        <f t="shared" si="1"/>
        <v>0.33991500000000002</v>
      </c>
      <c r="Z29" s="22"/>
      <c r="AA29" s="22"/>
      <c r="AB29" s="22"/>
      <c r="AC29" s="23"/>
      <c r="AD29" s="25">
        <v>1920</v>
      </c>
      <c r="AE29" s="22"/>
      <c r="AF29" s="22"/>
      <c r="AG29" s="22"/>
      <c r="AH29" s="23"/>
      <c r="AI29" s="21">
        <v>1927</v>
      </c>
      <c r="AJ29" s="22"/>
      <c r="AK29" s="22"/>
      <c r="AL29" s="22"/>
      <c r="AM29" s="23"/>
      <c r="AN29" s="21">
        <v>2017</v>
      </c>
      <c r="AO29" s="22"/>
      <c r="AP29" s="22"/>
      <c r="AQ29" s="22"/>
      <c r="AR29" s="23"/>
      <c r="AS29" s="21"/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291</v>
      </c>
      <c r="F30" s="22"/>
      <c r="G30" s="22"/>
      <c r="H30" s="22"/>
      <c r="I30" s="23"/>
      <c r="J30" s="32">
        <f t="shared" si="3"/>
        <v>0.36375000000000002</v>
      </c>
      <c r="K30" s="22"/>
      <c r="L30" s="22"/>
      <c r="M30" s="22"/>
      <c r="N30" s="23"/>
      <c r="O30" s="31">
        <v>1909</v>
      </c>
      <c r="P30" s="22"/>
      <c r="Q30" s="22"/>
      <c r="R30" s="22"/>
      <c r="S30" s="23"/>
      <c r="T30" s="25">
        <v>291</v>
      </c>
      <c r="U30" s="22"/>
      <c r="V30" s="22"/>
      <c r="W30" s="22"/>
      <c r="X30" s="23"/>
      <c r="Y30" s="24">
        <f t="shared" si="1"/>
        <v>0.387903</v>
      </c>
      <c r="Z30" s="22"/>
      <c r="AA30" s="22"/>
      <c r="AB30" s="22"/>
      <c r="AC30" s="23"/>
      <c r="AD30" s="25">
        <v>1922</v>
      </c>
      <c r="AE30" s="22"/>
      <c r="AF30" s="22"/>
      <c r="AG30" s="22"/>
      <c r="AH30" s="23"/>
      <c r="AI30" s="21">
        <v>1928</v>
      </c>
      <c r="AJ30" s="22"/>
      <c r="AK30" s="22"/>
      <c r="AL30" s="22"/>
      <c r="AM30" s="23"/>
      <c r="AN30" s="21">
        <v>2018</v>
      </c>
      <c r="AO30" s="22"/>
      <c r="AP30" s="22"/>
      <c r="AQ30" s="22"/>
      <c r="AR30" s="23"/>
      <c r="AS30" s="21"/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280</v>
      </c>
      <c r="F31" s="22"/>
      <c r="G31" s="22"/>
      <c r="H31" s="22"/>
      <c r="I31" s="23"/>
      <c r="J31" s="32">
        <f t="shared" si="3"/>
        <v>0.35000000000000003</v>
      </c>
      <c r="K31" s="22"/>
      <c r="L31" s="22"/>
      <c r="M31" s="22"/>
      <c r="N31" s="23"/>
      <c r="O31" s="31">
        <v>1910</v>
      </c>
      <c r="P31" s="22"/>
      <c r="Q31" s="22"/>
      <c r="R31" s="22"/>
      <c r="S31" s="23"/>
      <c r="T31" s="25">
        <v>280</v>
      </c>
      <c r="U31" s="22"/>
      <c r="V31" s="22"/>
      <c r="W31" s="22"/>
      <c r="X31" s="23"/>
      <c r="Y31" s="24">
        <f t="shared" si="1"/>
        <v>0.37324000000000002</v>
      </c>
      <c r="Z31" s="22"/>
      <c r="AA31" s="22"/>
      <c r="AB31" s="22"/>
      <c r="AC31" s="23"/>
      <c r="AD31" s="25">
        <v>1924</v>
      </c>
      <c r="AE31" s="22"/>
      <c r="AF31" s="22"/>
      <c r="AG31" s="22"/>
      <c r="AH31" s="23"/>
      <c r="AI31" s="21">
        <v>1929</v>
      </c>
      <c r="AJ31" s="22"/>
      <c r="AK31" s="22"/>
      <c r="AL31" s="22"/>
      <c r="AM31" s="23"/>
      <c r="AN31" s="21">
        <v>2019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288</v>
      </c>
      <c r="F32" s="22"/>
      <c r="G32" s="22"/>
      <c r="H32" s="22"/>
      <c r="I32" s="23"/>
      <c r="J32" s="32">
        <f t="shared" si="3"/>
        <v>0.36</v>
      </c>
      <c r="K32" s="22"/>
      <c r="L32" s="22"/>
      <c r="M32" s="22"/>
      <c r="N32" s="23"/>
      <c r="O32" s="31">
        <v>1912</v>
      </c>
      <c r="P32" s="22"/>
      <c r="Q32" s="22"/>
      <c r="R32" s="22"/>
      <c r="S32" s="23"/>
      <c r="T32" s="25">
        <v>288</v>
      </c>
      <c r="U32" s="22"/>
      <c r="V32" s="22"/>
      <c r="W32" s="22"/>
      <c r="X32" s="23"/>
      <c r="Y32" s="24">
        <f t="shared" si="1"/>
        <v>0.38390400000000002</v>
      </c>
      <c r="Z32" s="22"/>
      <c r="AA32" s="22"/>
      <c r="AB32" s="22"/>
      <c r="AC32" s="23"/>
      <c r="AD32" s="25">
        <v>1926</v>
      </c>
      <c r="AE32" s="22"/>
      <c r="AF32" s="22"/>
      <c r="AG32" s="22"/>
      <c r="AH32" s="23"/>
      <c r="AI32" s="21">
        <v>1930</v>
      </c>
      <c r="AJ32" s="22"/>
      <c r="AK32" s="22"/>
      <c r="AL32" s="22"/>
      <c r="AM32" s="23"/>
      <c r="AN32" s="21">
        <v>2020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412</v>
      </c>
      <c r="F33" s="22"/>
      <c r="G33" s="22"/>
      <c r="H33" s="22"/>
      <c r="I33" s="23"/>
      <c r="J33" s="32">
        <f t="shared" si="3"/>
        <v>0.51500000000000001</v>
      </c>
      <c r="K33" s="22"/>
      <c r="L33" s="22"/>
      <c r="M33" s="22"/>
      <c r="N33" s="23"/>
      <c r="O33" s="31">
        <v>1708</v>
      </c>
      <c r="P33" s="22"/>
      <c r="Q33" s="22"/>
      <c r="R33" s="22"/>
      <c r="S33" s="23"/>
      <c r="T33" s="25">
        <v>412</v>
      </c>
      <c r="U33" s="22"/>
      <c r="V33" s="22"/>
      <c r="W33" s="22"/>
      <c r="X33" s="23"/>
      <c r="Y33" s="24">
        <f t="shared" si="1"/>
        <v>0.54919600000000002</v>
      </c>
      <c r="Z33" s="22"/>
      <c r="AA33" s="22"/>
      <c r="AB33" s="22"/>
      <c r="AC33" s="23"/>
      <c r="AD33" s="25">
        <v>1725</v>
      </c>
      <c r="AE33" s="22"/>
      <c r="AF33" s="22"/>
      <c r="AG33" s="22"/>
      <c r="AH33" s="23"/>
      <c r="AI33" s="21">
        <v>1743</v>
      </c>
      <c r="AJ33" s="22"/>
      <c r="AK33" s="22"/>
      <c r="AL33" s="22"/>
      <c r="AM33" s="23"/>
      <c r="AN33" s="21">
        <v>1819</v>
      </c>
      <c r="AO33" s="22"/>
      <c r="AP33" s="22"/>
      <c r="AQ33" s="22"/>
      <c r="AR33" s="23"/>
      <c r="AS33" s="21"/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277</v>
      </c>
      <c r="F34" s="22"/>
      <c r="G34" s="22"/>
      <c r="H34" s="22"/>
      <c r="I34" s="23"/>
      <c r="J34" s="32">
        <f t="shared" si="3"/>
        <v>0.34625</v>
      </c>
      <c r="K34" s="22"/>
      <c r="L34" s="22"/>
      <c r="M34" s="22"/>
      <c r="N34" s="23"/>
      <c r="O34" s="31">
        <v>1709</v>
      </c>
      <c r="P34" s="22"/>
      <c r="Q34" s="22"/>
      <c r="R34" s="22"/>
      <c r="S34" s="23"/>
      <c r="T34" s="34">
        <v>277</v>
      </c>
      <c r="U34" s="22"/>
      <c r="V34" s="22"/>
      <c r="W34" s="22"/>
      <c r="X34" s="23"/>
      <c r="Y34" s="24">
        <f t="shared" si="1"/>
        <v>0.36924099999999999</v>
      </c>
      <c r="Z34" s="22"/>
      <c r="AA34" s="22"/>
      <c r="AB34" s="22"/>
      <c r="AC34" s="23"/>
      <c r="AD34" s="25">
        <v>1727</v>
      </c>
      <c r="AE34" s="22"/>
      <c r="AF34" s="22"/>
      <c r="AG34" s="22"/>
      <c r="AH34" s="23"/>
      <c r="AI34" s="21">
        <v>1744</v>
      </c>
      <c r="AJ34" s="22"/>
      <c r="AK34" s="22"/>
      <c r="AL34" s="22"/>
      <c r="AM34" s="23"/>
      <c r="AN34" s="21">
        <v>1820</v>
      </c>
      <c r="AO34" s="22"/>
      <c r="AP34" s="22"/>
      <c r="AQ34" s="22"/>
      <c r="AR34" s="23"/>
      <c r="AS34" s="21"/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278</v>
      </c>
      <c r="F35" s="22"/>
      <c r="G35" s="22"/>
      <c r="H35" s="22"/>
      <c r="I35" s="23"/>
      <c r="J35" s="32">
        <f t="shared" si="3"/>
        <v>0.34750000000000003</v>
      </c>
      <c r="K35" s="22"/>
      <c r="L35" s="22"/>
      <c r="M35" s="22"/>
      <c r="N35" s="23"/>
      <c r="O35" s="31">
        <v>1712</v>
      </c>
      <c r="P35" s="22"/>
      <c r="Q35" s="22"/>
      <c r="R35" s="22"/>
      <c r="S35" s="23"/>
      <c r="T35" s="34">
        <v>278</v>
      </c>
      <c r="U35" s="22"/>
      <c r="V35" s="22"/>
      <c r="W35" s="22"/>
      <c r="X35" s="23"/>
      <c r="Y35" s="24">
        <f t="shared" si="1"/>
        <v>0.37057400000000001</v>
      </c>
      <c r="Z35" s="22"/>
      <c r="AA35" s="22"/>
      <c r="AB35" s="22"/>
      <c r="AC35" s="23"/>
      <c r="AD35" s="25">
        <v>1729</v>
      </c>
      <c r="AE35" s="22"/>
      <c r="AF35" s="22"/>
      <c r="AG35" s="22"/>
      <c r="AH35" s="23"/>
      <c r="AI35" s="21">
        <v>1745</v>
      </c>
      <c r="AJ35" s="22"/>
      <c r="AK35" s="22"/>
      <c r="AL35" s="22"/>
      <c r="AM35" s="23"/>
      <c r="AN35" s="21">
        <v>1821</v>
      </c>
      <c r="AO35" s="22"/>
      <c r="AP35" s="22"/>
      <c r="AQ35" s="22"/>
      <c r="AR35" s="23"/>
      <c r="AS35" s="21"/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240</v>
      </c>
      <c r="F36" s="22"/>
      <c r="G36" s="22"/>
      <c r="H36" s="22"/>
      <c r="I36" s="23"/>
      <c r="J36" s="32">
        <f t="shared" si="3"/>
        <v>0.3</v>
      </c>
      <c r="K36" s="22"/>
      <c r="L36" s="22"/>
      <c r="M36" s="22"/>
      <c r="N36" s="23"/>
      <c r="O36" s="31">
        <v>1713</v>
      </c>
      <c r="P36" s="22"/>
      <c r="Q36" s="22"/>
      <c r="R36" s="22"/>
      <c r="S36" s="23"/>
      <c r="T36" s="34">
        <v>240</v>
      </c>
      <c r="U36" s="22"/>
      <c r="V36" s="22"/>
      <c r="W36" s="22"/>
      <c r="X36" s="23"/>
      <c r="Y36" s="24">
        <f t="shared" si="1"/>
        <v>0.31991999999999998</v>
      </c>
      <c r="Z36" s="22"/>
      <c r="AA36" s="22"/>
      <c r="AB36" s="22"/>
      <c r="AC36" s="23"/>
      <c r="AD36" s="25">
        <v>1731</v>
      </c>
      <c r="AE36" s="22"/>
      <c r="AF36" s="22"/>
      <c r="AG36" s="22"/>
      <c r="AH36" s="23"/>
      <c r="AI36" s="21">
        <v>1746</v>
      </c>
      <c r="AJ36" s="22"/>
      <c r="AK36" s="22"/>
      <c r="AL36" s="22"/>
      <c r="AM36" s="23"/>
      <c r="AN36" s="21">
        <v>1822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439</v>
      </c>
      <c r="F37" s="22"/>
      <c r="G37" s="22"/>
      <c r="H37" s="22"/>
      <c r="I37" s="23"/>
      <c r="J37" s="32">
        <f t="shared" si="3"/>
        <v>0.54874999999999996</v>
      </c>
      <c r="K37" s="22"/>
      <c r="L37" s="22"/>
      <c r="M37" s="22"/>
      <c r="N37" s="23"/>
      <c r="O37" s="31">
        <v>1758</v>
      </c>
      <c r="P37" s="22"/>
      <c r="Q37" s="22"/>
      <c r="R37" s="22"/>
      <c r="S37" s="23"/>
      <c r="T37" s="34">
        <v>439</v>
      </c>
      <c r="U37" s="22"/>
      <c r="V37" s="22"/>
      <c r="W37" s="22"/>
      <c r="X37" s="23"/>
      <c r="Y37" s="24">
        <f t="shared" si="1"/>
        <v>0.58518700000000001</v>
      </c>
      <c r="Z37" s="22"/>
      <c r="AA37" s="22"/>
      <c r="AB37" s="22"/>
      <c r="AC37" s="23"/>
      <c r="AD37" s="25">
        <v>1816</v>
      </c>
      <c r="AE37" s="22"/>
      <c r="AF37" s="22"/>
      <c r="AG37" s="22"/>
      <c r="AH37" s="23"/>
      <c r="AI37" s="21">
        <v>1837</v>
      </c>
      <c r="AJ37" s="22"/>
      <c r="AK37" s="22"/>
      <c r="AL37" s="22"/>
      <c r="AM37" s="23"/>
      <c r="AN37" s="21">
        <v>1917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458</v>
      </c>
      <c r="F38" s="22"/>
      <c r="G38" s="22"/>
      <c r="H38" s="22"/>
      <c r="I38" s="23"/>
      <c r="J38" s="32">
        <f t="shared" si="3"/>
        <v>0.57250000000000001</v>
      </c>
      <c r="K38" s="22"/>
      <c r="L38" s="22"/>
      <c r="M38" s="22"/>
      <c r="N38" s="23"/>
      <c r="O38" s="31">
        <v>1801</v>
      </c>
      <c r="P38" s="22"/>
      <c r="Q38" s="22"/>
      <c r="R38" s="22"/>
      <c r="S38" s="23"/>
      <c r="T38" s="34">
        <v>458</v>
      </c>
      <c r="U38" s="22"/>
      <c r="V38" s="22"/>
      <c r="W38" s="22"/>
      <c r="X38" s="23"/>
      <c r="Y38" s="24">
        <f t="shared" si="1"/>
        <v>0.610514</v>
      </c>
      <c r="Z38" s="22"/>
      <c r="AA38" s="22"/>
      <c r="AB38" s="22"/>
      <c r="AC38" s="23"/>
      <c r="AD38" s="25">
        <v>1819</v>
      </c>
      <c r="AE38" s="22"/>
      <c r="AF38" s="22"/>
      <c r="AG38" s="22"/>
      <c r="AH38" s="23"/>
      <c r="AI38" s="21">
        <v>1838</v>
      </c>
      <c r="AJ38" s="22"/>
      <c r="AK38" s="22"/>
      <c r="AL38" s="22"/>
      <c r="AM38" s="23"/>
      <c r="AN38" s="21">
        <v>1918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280</v>
      </c>
      <c r="F39" s="22"/>
      <c r="G39" s="22"/>
      <c r="H39" s="22"/>
      <c r="I39" s="23"/>
      <c r="J39" s="32">
        <f t="shared" si="3"/>
        <v>0.35000000000000003</v>
      </c>
      <c r="K39" s="22"/>
      <c r="L39" s="22"/>
      <c r="M39" s="22"/>
      <c r="N39" s="23"/>
      <c r="O39" s="31">
        <v>1805</v>
      </c>
      <c r="P39" s="22"/>
      <c r="Q39" s="22"/>
      <c r="R39" s="22"/>
      <c r="S39" s="23"/>
      <c r="T39" s="25">
        <v>280</v>
      </c>
      <c r="U39" s="22"/>
      <c r="V39" s="22"/>
      <c r="W39" s="22"/>
      <c r="X39" s="23"/>
      <c r="Y39" s="24">
        <f t="shared" si="1"/>
        <v>0.37324000000000002</v>
      </c>
      <c r="Z39" s="22"/>
      <c r="AA39" s="22"/>
      <c r="AB39" s="22"/>
      <c r="AC39" s="23"/>
      <c r="AD39" s="25">
        <v>1820</v>
      </c>
      <c r="AE39" s="22"/>
      <c r="AF39" s="22"/>
      <c r="AG39" s="22"/>
      <c r="AH39" s="23"/>
      <c r="AI39" s="21">
        <v>1839</v>
      </c>
      <c r="AJ39" s="22"/>
      <c r="AK39" s="22"/>
      <c r="AL39" s="22"/>
      <c r="AM39" s="23"/>
      <c r="AN39" s="21">
        <v>1919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>
        <v>244</v>
      </c>
      <c r="F40" s="22"/>
      <c r="G40" s="22"/>
      <c r="H40" s="22"/>
      <c r="I40" s="23"/>
      <c r="J40" s="32">
        <f t="shared" ref="J40:J46" si="4">E40*0.0012</f>
        <v>0.29279999999999995</v>
      </c>
      <c r="K40" s="22"/>
      <c r="L40" s="22"/>
      <c r="M40" s="22"/>
      <c r="N40" s="23"/>
      <c r="O40" s="31">
        <v>1324</v>
      </c>
      <c r="P40" s="22"/>
      <c r="Q40" s="22"/>
      <c r="R40" s="22"/>
      <c r="S40" s="23"/>
      <c r="T40" s="25">
        <v>244</v>
      </c>
      <c r="U40" s="22"/>
      <c r="V40" s="22"/>
      <c r="W40" s="22"/>
      <c r="X40" s="23"/>
      <c r="Y40" s="24">
        <f t="shared" si="1"/>
        <v>0.32525199999999999</v>
      </c>
      <c r="Z40" s="22"/>
      <c r="AA40" s="22"/>
      <c r="AB40" s="22"/>
      <c r="AC40" s="23"/>
      <c r="AD40" s="25">
        <v>1345</v>
      </c>
      <c r="AE40" s="22"/>
      <c r="AF40" s="22"/>
      <c r="AG40" s="22"/>
      <c r="AH40" s="23"/>
      <c r="AI40" s="21">
        <v>1401</v>
      </c>
      <c r="AJ40" s="22"/>
      <c r="AK40" s="22"/>
      <c r="AL40" s="22"/>
      <c r="AM40" s="23"/>
      <c r="AN40" s="21">
        <v>1441</v>
      </c>
      <c r="AO40" s="22"/>
      <c r="AP40" s="22"/>
      <c r="AQ40" s="22"/>
      <c r="AR40" s="23"/>
      <c r="AS40" s="21"/>
      <c r="AT40" s="22"/>
      <c r="AU40" s="22"/>
      <c r="AV40" s="22"/>
      <c r="AW40" s="23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>
        <v>281</v>
      </c>
      <c r="F41" s="22"/>
      <c r="G41" s="22"/>
      <c r="H41" s="22"/>
      <c r="I41" s="23"/>
      <c r="J41" s="32">
        <f t="shared" si="4"/>
        <v>0.33719999999999994</v>
      </c>
      <c r="K41" s="22"/>
      <c r="L41" s="22"/>
      <c r="M41" s="22"/>
      <c r="N41" s="23"/>
      <c r="O41" s="31">
        <v>1326</v>
      </c>
      <c r="P41" s="22"/>
      <c r="Q41" s="22"/>
      <c r="R41" s="22"/>
      <c r="S41" s="23"/>
      <c r="T41" s="34">
        <v>281</v>
      </c>
      <c r="U41" s="22"/>
      <c r="V41" s="22"/>
      <c r="W41" s="22"/>
      <c r="X41" s="23"/>
      <c r="Y41" s="24">
        <f t="shared" si="1"/>
        <v>0.37457299999999999</v>
      </c>
      <c r="Z41" s="22"/>
      <c r="AA41" s="22"/>
      <c r="AB41" s="22"/>
      <c r="AC41" s="23"/>
      <c r="AD41" s="25">
        <v>1346</v>
      </c>
      <c r="AE41" s="22"/>
      <c r="AF41" s="22"/>
      <c r="AG41" s="22"/>
      <c r="AH41" s="23"/>
      <c r="AI41" s="21">
        <v>1402</v>
      </c>
      <c r="AJ41" s="22"/>
      <c r="AK41" s="22"/>
      <c r="AL41" s="22"/>
      <c r="AM41" s="23"/>
      <c r="AN41" s="21">
        <v>1442</v>
      </c>
      <c r="AO41" s="22"/>
      <c r="AP41" s="22"/>
      <c r="AQ41" s="22"/>
      <c r="AR41" s="23"/>
      <c r="AS41" s="21"/>
      <c r="AT41" s="22"/>
      <c r="AU41" s="22"/>
      <c r="AV41" s="22"/>
      <c r="AW41" s="23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>
        <v>390</v>
      </c>
      <c r="F42" s="22"/>
      <c r="G42" s="22"/>
      <c r="H42" s="22"/>
      <c r="I42" s="23"/>
      <c r="J42" s="32">
        <f t="shared" si="4"/>
        <v>0.46799999999999997</v>
      </c>
      <c r="K42" s="22"/>
      <c r="L42" s="22"/>
      <c r="M42" s="22"/>
      <c r="N42" s="23"/>
      <c r="O42" s="31">
        <v>1328</v>
      </c>
      <c r="P42" s="22"/>
      <c r="Q42" s="22"/>
      <c r="R42" s="22"/>
      <c r="S42" s="23"/>
      <c r="T42" s="34">
        <v>390</v>
      </c>
      <c r="U42" s="22"/>
      <c r="V42" s="22"/>
      <c r="W42" s="22"/>
      <c r="X42" s="23"/>
      <c r="Y42" s="24">
        <f t="shared" si="1"/>
        <v>0.51986999999999994</v>
      </c>
      <c r="Z42" s="22"/>
      <c r="AA42" s="22"/>
      <c r="AB42" s="22"/>
      <c r="AC42" s="23"/>
      <c r="AD42" s="25">
        <v>1348</v>
      </c>
      <c r="AE42" s="22"/>
      <c r="AF42" s="22"/>
      <c r="AG42" s="22"/>
      <c r="AH42" s="23"/>
      <c r="AI42" s="21">
        <v>1403</v>
      </c>
      <c r="AJ42" s="22"/>
      <c r="AK42" s="22"/>
      <c r="AL42" s="22"/>
      <c r="AM42" s="23"/>
      <c r="AN42" s="21">
        <v>1443</v>
      </c>
      <c r="AO42" s="22"/>
      <c r="AP42" s="22"/>
      <c r="AQ42" s="22"/>
      <c r="AR42" s="23"/>
      <c r="AS42" s="21"/>
      <c r="AT42" s="22"/>
      <c r="AU42" s="22"/>
      <c r="AV42" s="22"/>
      <c r="AW42" s="23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>
        <v>389</v>
      </c>
      <c r="F43" s="22"/>
      <c r="G43" s="22"/>
      <c r="H43" s="22"/>
      <c r="I43" s="23"/>
      <c r="J43" s="32">
        <f t="shared" si="4"/>
        <v>0.46679999999999994</v>
      </c>
      <c r="K43" s="22"/>
      <c r="L43" s="22"/>
      <c r="M43" s="22"/>
      <c r="N43" s="23"/>
      <c r="O43" s="31">
        <v>1329</v>
      </c>
      <c r="P43" s="22"/>
      <c r="Q43" s="22"/>
      <c r="R43" s="22"/>
      <c r="S43" s="23"/>
      <c r="T43" s="34">
        <v>389</v>
      </c>
      <c r="U43" s="22"/>
      <c r="V43" s="22"/>
      <c r="W43" s="22"/>
      <c r="X43" s="23"/>
      <c r="Y43" s="24">
        <f t="shared" si="1"/>
        <v>0.51853700000000003</v>
      </c>
      <c r="Z43" s="22"/>
      <c r="AA43" s="22"/>
      <c r="AB43" s="22"/>
      <c r="AC43" s="23"/>
      <c r="AD43" s="25">
        <v>1350</v>
      </c>
      <c r="AE43" s="22"/>
      <c r="AF43" s="22"/>
      <c r="AG43" s="22"/>
      <c r="AH43" s="23"/>
      <c r="AI43" s="21">
        <v>1404</v>
      </c>
      <c r="AJ43" s="22"/>
      <c r="AK43" s="22"/>
      <c r="AL43" s="22"/>
      <c r="AM43" s="23"/>
      <c r="AN43" s="21">
        <v>1444</v>
      </c>
      <c r="AO43" s="22"/>
      <c r="AP43" s="22"/>
      <c r="AQ43" s="22"/>
      <c r="AR43" s="23"/>
      <c r="AS43" s="21"/>
      <c r="AT43" s="22"/>
      <c r="AU43" s="22"/>
      <c r="AV43" s="22"/>
      <c r="AW43" s="23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>
        <v>427</v>
      </c>
      <c r="F44" s="22"/>
      <c r="G44" s="22"/>
      <c r="H44" s="22"/>
      <c r="I44" s="23"/>
      <c r="J44" s="32">
        <f t="shared" si="4"/>
        <v>0.51239999999999997</v>
      </c>
      <c r="K44" s="22"/>
      <c r="L44" s="22"/>
      <c r="M44" s="22"/>
      <c r="N44" s="23"/>
      <c r="O44" s="31">
        <v>1420</v>
      </c>
      <c r="P44" s="22"/>
      <c r="Q44" s="22"/>
      <c r="R44" s="22"/>
      <c r="S44" s="23"/>
      <c r="T44" s="34">
        <v>427</v>
      </c>
      <c r="U44" s="22"/>
      <c r="V44" s="22"/>
      <c r="W44" s="22"/>
      <c r="X44" s="23"/>
      <c r="Y44" s="24">
        <f t="shared" si="1"/>
        <v>0.569191</v>
      </c>
      <c r="Z44" s="22"/>
      <c r="AA44" s="22"/>
      <c r="AB44" s="22"/>
      <c r="AC44" s="23"/>
      <c r="AD44" s="25">
        <v>1441</v>
      </c>
      <c r="AE44" s="22"/>
      <c r="AF44" s="22"/>
      <c r="AG44" s="22"/>
      <c r="AH44" s="23"/>
      <c r="AI44" s="21">
        <v>1504</v>
      </c>
      <c r="AJ44" s="22"/>
      <c r="AK44" s="22"/>
      <c r="AL44" s="22"/>
      <c r="AM44" s="23"/>
      <c r="AN44" s="21">
        <v>1544</v>
      </c>
      <c r="AO44" s="22"/>
      <c r="AP44" s="22"/>
      <c r="AQ44" s="22"/>
      <c r="AR44" s="23"/>
      <c r="AS44" s="21"/>
      <c r="AT44" s="22"/>
      <c r="AU44" s="22"/>
      <c r="AV44" s="22"/>
      <c r="AW44" s="23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>
        <v>432</v>
      </c>
      <c r="F45" s="22"/>
      <c r="G45" s="22"/>
      <c r="H45" s="22"/>
      <c r="I45" s="23"/>
      <c r="J45" s="32">
        <f t="shared" si="4"/>
        <v>0.51839999999999997</v>
      </c>
      <c r="K45" s="22"/>
      <c r="L45" s="22"/>
      <c r="M45" s="22"/>
      <c r="N45" s="23"/>
      <c r="O45" s="31">
        <v>1422</v>
      </c>
      <c r="P45" s="22"/>
      <c r="Q45" s="22"/>
      <c r="R45" s="22"/>
      <c r="S45" s="23"/>
      <c r="T45" s="34">
        <v>432</v>
      </c>
      <c r="U45" s="22"/>
      <c r="V45" s="22"/>
      <c r="W45" s="22"/>
      <c r="X45" s="23"/>
      <c r="Y45" s="24">
        <f t="shared" si="1"/>
        <v>0.57585600000000003</v>
      </c>
      <c r="Z45" s="22"/>
      <c r="AA45" s="22"/>
      <c r="AB45" s="22"/>
      <c r="AC45" s="23"/>
      <c r="AD45" s="25">
        <v>1443</v>
      </c>
      <c r="AE45" s="22"/>
      <c r="AF45" s="22"/>
      <c r="AG45" s="22"/>
      <c r="AH45" s="23"/>
      <c r="AI45" s="21">
        <v>1505</v>
      </c>
      <c r="AJ45" s="22"/>
      <c r="AK45" s="22"/>
      <c r="AL45" s="22"/>
      <c r="AM45" s="23"/>
      <c r="AN45" s="21">
        <v>1545</v>
      </c>
      <c r="AO45" s="22"/>
      <c r="AP45" s="22"/>
      <c r="AQ45" s="22"/>
      <c r="AR45" s="23"/>
      <c r="AS45" s="21"/>
      <c r="AT45" s="22"/>
      <c r="AU45" s="22"/>
      <c r="AV45" s="22"/>
      <c r="AW45" s="23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>
        <v>253</v>
      </c>
      <c r="F46" s="22"/>
      <c r="G46" s="22"/>
      <c r="H46" s="22"/>
      <c r="I46" s="23"/>
      <c r="J46" s="32">
        <f t="shared" si="4"/>
        <v>0.30359999999999998</v>
      </c>
      <c r="K46" s="22"/>
      <c r="L46" s="22"/>
      <c r="M46" s="22"/>
      <c r="N46" s="23"/>
      <c r="O46" s="31">
        <v>1424</v>
      </c>
      <c r="P46" s="22"/>
      <c r="Q46" s="22"/>
      <c r="R46" s="22"/>
      <c r="S46" s="23"/>
      <c r="T46" s="25">
        <v>253</v>
      </c>
      <c r="U46" s="22"/>
      <c r="V46" s="22"/>
      <c r="W46" s="22"/>
      <c r="X46" s="23"/>
      <c r="Y46" s="24">
        <f t="shared" si="1"/>
        <v>0.33724900000000002</v>
      </c>
      <c r="Z46" s="22"/>
      <c r="AA46" s="22"/>
      <c r="AB46" s="22"/>
      <c r="AC46" s="23"/>
      <c r="AD46" s="25">
        <v>1445</v>
      </c>
      <c r="AE46" s="22"/>
      <c r="AF46" s="22"/>
      <c r="AG46" s="22"/>
      <c r="AH46" s="23"/>
      <c r="AI46" s="21">
        <v>1506</v>
      </c>
      <c r="AJ46" s="22"/>
      <c r="AK46" s="22"/>
      <c r="AL46" s="22"/>
      <c r="AM46" s="23"/>
      <c r="AN46" s="21">
        <v>1546</v>
      </c>
      <c r="AO46" s="22"/>
      <c r="AP46" s="22"/>
      <c r="AQ46" s="22"/>
      <c r="AR46" s="23"/>
      <c r="AS46" s="21"/>
      <c r="AT46" s="22"/>
      <c r="AU46" s="22"/>
      <c r="AV46" s="22"/>
      <c r="AW46" s="23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414">
    <mergeCell ref="AI38:AM38"/>
    <mergeCell ref="AD37:AH37"/>
    <mergeCell ref="AN25:AR25"/>
    <mergeCell ref="T26:X26"/>
    <mergeCell ref="Y26:AC26"/>
    <mergeCell ref="AD26:AH26"/>
    <mergeCell ref="AI26:AM26"/>
    <mergeCell ref="AD27:AH27"/>
    <mergeCell ref="T27:X27"/>
    <mergeCell ref="Y27:AC27"/>
    <mergeCell ref="T28:X28"/>
    <mergeCell ref="Y28:AC28"/>
    <mergeCell ref="T30:X30"/>
    <mergeCell ref="Y30:AC30"/>
    <mergeCell ref="AD30:AH30"/>
    <mergeCell ref="E26:I26"/>
    <mergeCell ref="J26:N26"/>
    <mergeCell ref="O26:S26"/>
    <mergeCell ref="O37:S37"/>
    <mergeCell ref="T37:X37"/>
    <mergeCell ref="Y37:AC37"/>
    <mergeCell ref="E38:I38"/>
    <mergeCell ref="J38:N38"/>
    <mergeCell ref="O38:S38"/>
    <mergeCell ref="E30:I30"/>
    <mergeCell ref="J30:N30"/>
    <mergeCell ref="O30:S30"/>
    <mergeCell ref="AI39:AM39"/>
    <mergeCell ref="E37:I37"/>
    <mergeCell ref="J37:N37"/>
    <mergeCell ref="AS25:AW25"/>
    <mergeCell ref="AS24:AW24"/>
    <mergeCell ref="AN24:AR24"/>
    <mergeCell ref="E25:I25"/>
    <mergeCell ref="J25:N25"/>
    <mergeCell ref="AI36:AM36"/>
    <mergeCell ref="AI35:AM35"/>
    <mergeCell ref="AI34:AM34"/>
    <mergeCell ref="AI33:AM33"/>
    <mergeCell ref="O25:S25"/>
    <mergeCell ref="E31:I31"/>
    <mergeCell ref="J31:N31"/>
    <mergeCell ref="O31:S31"/>
    <mergeCell ref="AI31:AM31"/>
    <mergeCell ref="AD31:AH31"/>
    <mergeCell ref="T31:X31"/>
    <mergeCell ref="Y31:AC31"/>
    <mergeCell ref="T32:X32"/>
    <mergeCell ref="Y32:AC32"/>
    <mergeCell ref="AD32:AH32"/>
    <mergeCell ref="AI32:AM32"/>
    <mergeCell ref="E23:I23"/>
    <mergeCell ref="J23:N23"/>
    <mergeCell ref="O23:S23"/>
    <mergeCell ref="T23:X23"/>
    <mergeCell ref="Y23:AC23"/>
    <mergeCell ref="AD23:AH23"/>
    <mergeCell ref="AI23:AM23"/>
    <mergeCell ref="E39:I39"/>
    <mergeCell ref="J39:N39"/>
    <mergeCell ref="O39:S39"/>
    <mergeCell ref="E24:I24"/>
    <mergeCell ref="J24:N24"/>
    <mergeCell ref="O24:S24"/>
    <mergeCell ref="AI24:AM24"/>
    <mergeCell ref="AD24:AH24"/>
    <mergeCell ref="T24:X24"/>
    <mergeCell ref="Y24:AC24"/>
    <mergeCell ref="T25:X25"/>
    <mergeCell ref="Y25:AC25"/>
    <mergeCell ref="AD25:AH25"/>
    <mergeCell ref="AI25:AM25"/>
    <mergeCell ref="AI37:AM37"/>
    <mergeCell ref="AD38:AH38"/>
    <mergeCell ref="T38:X38"/>
    <mergeCell ref="AI30:AM30"/>
    <mergeCell ref="E32:I32"/>
    <mergeCell ref="J32:N32"/>
    <mergeCell ref="O32:S32"/>
    <mergeCell ref="AD45:AH45"/>
    <mergeCell ref="T45:X45"/>
    <mergeCell ref="Y45:AC45"/>
    <mergeCell ref="AN32:AR32"/>
    <mergeCell ref="AS32:AW32"/>
    <mergeCell ref="AS31:AW31"/>
    <mergeCell ref="AN31:AR31"/>
    <mergeCell ref="AN30:AR30"/>
    <mergeCell ref="AS30:AW30"/>
    <mergeCell ref="AN39:AR39"/>
    <mergeCell ref="AS39:AW39"/>
    <mergeCell ref="AS38:AW38"/>
    <mergeCell ref="AN38:AR38"/>
    <mergeCell ref="AN37:AR37"/>
    <mergeCell ref="AS37:AW37"/>
    <mergeCell ref="AS45:AW45"/>
    <mergeCell ref="AN45:AR45"/>
    <mergeCell ref="AN33:AR33"/>
    <mergeCell ref="AS33:AW33"/>
    <mergeCell ref="AN36:AR36"/>
    <mergeCell ref="AS46:AW46"/>
    <mergeCell ref="T46:X46"/>
    <mergeCell ref="Y46:AC46"/>
    <mergeCell ref="AN44:AR44"/>
    <mergeCell ref="AS44:AW44"/>
    <mergeCell ref="E44:I44"/>
    <mergeCell ref="J44:N44"/>
    <mergeCell ref="O44:S44"/>
    <mergeCell ref="T44:X44"/>
    <mergeCell ref="Y44:AC44"/>
    <mergeCell ref="AD44:AH44"/>
    <mergeCell ref="AI44:AM44"/>
    <mergeCell ref="AD46:AH46"/>
    <mergeCell ref="E45:I45"/>
    <mergeCell ref="J45:N45"/>
    <mergeCell ref="O45:S45"/>
    <mergeCell ref="AI45:AM45"/>
    <mergeCell ref="AI46:AM46"/>
    <mergeCell ref="AN46:AR46"/>
    <mergeCell ref="E46:I46"/>
    <mergeCell ref="J46:N46"/>
    <mergeCell ref="O46:S46"/>
    <mergeCell ref="AS36:AW36"/>
    <mergeCell ref="AN35:AR35"/>
    <mergeCell ref="AS35:AW35"/>
    <mergeCell ref="AS34:AW34"/>
    <mergeCell ref="AN34:AR34"/>
    <mergeCell ref="AN26:AR26"/>
    <mergeCell ref="AS26:AW26"/>
    <mergeCell ref="E40:I40"/>
    <mergeCell ref="J40:N40"/>
    <mergeCell ref="O40:S40"/>
    <mergeCell ref="T40:X40"/>
    <mergeCell ref="Y40:AC40"/>
    <mergeCell ref="AD40:AH40"/>
    <mergeCell ref="AI40:AM40"/>
    <mergeCell ref="AN40:AR40"/>
    <mergeCell ref="AS40:AW40"/>
    <mergeCell ref="J34:N34"/>
    <mergeCell ref="O34:S34"/>
    <mergeCell ref="AD34:AH34"/>
    <mergeCell ref="T34:X34"/>
    <mergeCell ref="Y34:AC34"/>
    <mergeCell ref="T35:X35"/>
    <mergeCell ref="Y35:AC35"/>
    <mergeCell ref="E35:I35"/>
    <mergeCell ref="AS3:AW3"/>
    <mergeCell ref="E3:I3"/>
    <mergeCell ref="J3:N3"/>
    <mergeCell ref="O3:S3"/>
    <mergeCell ref="T3:X3"/>
    <mergeCell ref="AI6:AM6"/>
    <mergeCell ref="AN6:AR6"/>
    <mergeCell ref="AI5:AM5"/>
    <mergeCell ref="AN5:AR5"/>
    <mergeCell ref="J4:N4"/>
    <mergeCell ref="O4:S4"/>
    <mergeCell ref="AD4:AH4"/>
    <mergeCell ref="T4:X4"/>
    <mergeCell ref="Y4:AC4"/>
    <mergeCell ref="E5:I5"/>
    <mergeCell ref="J5:N5"/>
    <mergeCell ref="O5:S5"/>
    <mergeCell ref="T5:X5"/>
    <mergeCell ref="Y5:AC5"/>
    <mergeCell ref="AD5:AH5"/>
    <mergeCell ref="Y3:AC3"/>
    <mergeCell ref="AI4:AM4"/>
    <mergeCell ref="AI3:AM3"/>
    <mergeCell ref="AS6:AW6"/>
    <mergeCell ref="AI1:AM1"/>
    <mergeCell ref="AN1:AR1"/>
    <mergeCell ref="E1:I1"/>
    <mergeCell ref="J1:N1"/>
    <mergeCell ref="O1:S1"/>
    <mergeCell ref="T1:X1"/>
    <mergeCell ref="Y1:AC1"/>
    <mergeCell ref="AD1:AH1"/>
    <mergeCell ref="AS1:AW1"/>
    <mergeCell ref="AI2:AM2"/>
    <mergeCell ref="AN2:AR2"/>
    <mergeCell ref="AS5:AW5"/>
    <mergeCell ref="AS2:AW2"/>
    <mergeCell ref="E4:I4"/>
    <mergeCell ref="AN4:AR4"/>
    <mergeCell ref="AS4:AW4"/>
    <mergeCell ref="AN3:AR3"/>
    <mergeCell ref="T8:X8"/>
    <mergeCell ref="Y8:AC8"/>
    <mergeCell ref="AN8:AR8"/>
    <mergeCell ref="AS8:AW8"/>
    <mergeCell ref="E8:I8"/>
    <mergeCell ref="J8:N8"/>
    <mergeCell ref="O8:S8"/>
    <mergeCell ref="AI8:AM8"/>
    <mergeCell ref="E6:I6"/>
    <mergeCell ref="J6:N6"/>
    <mergeCell ref="O6:S6"/>
    <mergeCell ref="AD8:AH8"/>
    <mergeCell ref="E7:I7"/>
    <mergeCell ref="J7:N7"/>
    <mergeCell ref="O7:S7"/>
    <mergeCell ref="T7:X7"/>
    <mergeCell ref="Y7:AC7"/>
    <mergeCell ref="T6:X6"/>
    <mergeCell ref="Y6:AC6"/>
    <mergeCell ref="AD6:AH6"/>
    <mergeCell ref="AD7:AH7"/>
    <mergeCell ref="AI7:AM7"/>
    <mergeCell ref="AN7:AR7"/>
    <mergeCell ref="AS7:AW7"/>
    <mergeCell ref="E9:I9"/>
    <mergeCell ref="J9:N9"/>
    <mergeCell ref="O9:S9"/>
    <mergeCell ref="T9:X9"/>
    <mergeCell ref="Y9:AC9"/>
    <mergeCell ref="AI10:AM10"/>
    <mergeCell ref="AD9:AH9"/>
    <mergeCell ref="AI9:AM9"/>
    <mergeCell ref="AN9:AR9"/>
    <mergeCell ref="J11:N11"/>
    <mergeCell ref="AS11:AW11"/>
    <mergeCell ref="Y10:AC10"/>
    <mergeCell ref="Y11:AC11"/>
    <mergeCell ref="AD10:AH10"/>
    <mergeCell ref="AD11:AH11"/>
    <mergeCell ref="E10:I10"/>
    <mergeCell ref="J10:N10"/>
    <mergeCell ref="O10:S10"/>
    <mergeCell ref="E16:I16"/>
    <mergeCell ref="J16:N16"/>
    <mergeCell ref="O16:S16"/>
    <mergeCell ref="T16:X16"/>
    <mergeCell ref="Y16:AC16"/>
    <mergeCell ref="AN17:AR17"/>
    <mergeCell ref="E13:I13"/>
    <mergeCell ref="J13:N13"/>
    <mergeCell ref="O13:S13"/>
    <mergeCell ref="AI13:AM13"/>
    <mergeCell ref="E15:I15"/>
    <mergeCell ref="J15:N15"/>
    <mergeCell ref="O15:S15"/>
    <mergeCell ref="T15:X15"/>
    <mergeCell ref="Y15:AC15"/>
    <mergeCell ref="AD15:AH15"/>
    <mergeCell ref="AI15:AM15"/>
    <mergeCell ref="E14:I14"/>
    <mergeCell ref="J14:N14"/>
    <mergeCell ref="O14:S14"/>
    <mergeCell ref="AN10:AR10"/>
    <mergeCell ref="E17:I17"/>
    <mergeCell ref="J17:N17"/>
    <mergeCell ref="O17:S17"/>
    <mergeCell ref="AD17:AH17"/>
    <mergeCell ref="AI17:AM17"/>
    <mergeCell ref="T17:X17"/>
    <mergeCell ref="Y17:AC17"/>
    <mergeCell ref="E18:I18"/>
    <mergeCell ref="J18:N18"/>
    <mergeCell ref="O18:S18"/>
    <mergeCell ref="T18:X18"/>
    <mergeCell ref="Y18:AC18"/>
    <mergeCell ref="AD18:AH18"/>
    <mergeCell ref="AI18:AM18"/>
    <mergeCell ref="E2:I2"/>
    <mergeCell ref="J2:N2"/>
    <mergeCell ref="O2:S2"/>
    <mergeCell ref="T2:X2"/>
    <mergeCell ref="Y2:AC2"/>
    <mergeCell ref="AD2:AH2"/>
    <mergeCell ref="AD3:AH3"/>
    <mergeCell ref="AN12:AR12"/>
    <mergeCell ref="AS12:AW12"/>
    <mergeCell ref="E12:I12"/>
    <mergeCell ref="J12:N12"/>
    <mergeCell ref="O12:S12"/>
    <mergeCell ref="T12:X12"/>
    <mergeCell ref="Y12:AC12"/>
    <mergeCell ref="AD12:AH12"/>
    <mergeCell ref="AI12:AM12"/>
    <mergeCell ref="AS9:AW9"/>
    <mergeCell ref="AS10:AW10"/>
    <mergeCell ref="O11:S11"/>
    <mergeCell ref="T10:X10"/>
    <mergeCell ref="T11:X11"/>
    <mergeCell ref="AI11:AM11"/>
    <mergeCell ref="AN11:AR11"/>
    <mergeCell ref="E11:I11"/>
    <mergeCell ref="AS21:AW21"/>
    <mergeCell ref="AS20:AW20"/>
    <mergeCell ref="AN20:AR20"/>
    <mergeCell ref="AN15:AR15"/>
    <mergeCell ref="AS15:AW15"/>
    <mergeCell ref="AD13:AH13"/>
    <mergeCell ref="T13:X13"/>
    <mergeCell ref="Y13:AC13"/>
    <mergeCell ref="T14:X14"/>
    <mergeCell ref="Y14:AC14"/>
    <mergeCell ref="AD14:AH14"/>
    <mergeCell ref="AI14:AM14"/>
    <mergeCell ref="AN14:AR14"/>
    <mergeCell ref="AS14:AW14"/>
    <mergeCell ref="AS13:AW13"/>
    <mergeCell ref="AN13:AR13"/>
    <mergeCell ref="AD16:AH16"/>
    <mergeCell ref="AI16:AM16"/>
    <mergeCell ref="AN16:AR16"/>
    <mergeCell ref="AS16:AW16"/>
    <mergeCell ref="AS17:AW17"/>
    <mergeCell ref="AS18:AW18"/>
    <mergeCell ref="AN18:AR18"/>
    <mergeCell ref="AS19:AW19"/>
    <mergeCell ref="E19:I19"/>
    <mergeCell ref="J19:N19"/>
    <mergeCell ref="O19:S19"/>
    <mergeCell ref="T19:X19"/>
    <mergeCell ref="Y19:AC19"/>
    <mergeCell ref="AD19:AH19"/>
    <mergeCell ref="AI19:AM19"/>
    <mergeCell ref="E20:I20"/>
    <mergeCell ref="J20:N20"/>
    <mergeCell ref="O20:S20"/>
    <mergeCell ref="AI20:AM20"/>
    <mergeCell ref="AD20:AH20"/>
    <mergeCell ref="T20:X20"/>
    <mergeCell ref="Y20:AC20"/>
    <mergeCell ref="E22:I22"/>
    <mergeCell ref="J22:N22"/>
    <mergeCell ref="O22:S22"/>
    <mergeCell ref="T22:X22"/>
    <mergeCell ref="Y22:AC22"/>
    <mergeCell ref="E21:I21"/>
    <mergeCell ref="J21:N21"/>
    <mergeCell ref="O21:S21"/>
    <mergeCell ref="AN19:AR19"/>
    <mergeCell ref="T21:X21"/>
    <mergeCell ref="Y21:AC21"/>
    <mergeCell ref="AD21:AH21"/>
    <mergeCell ref="AI21:AM21"/>
    <mergeCell ref="AN21:AR21"/>
    <mergeCell ref="AD28:AH28"/>
    <mergeCell ref="AI28:AM28"/>
    <mergeCell ref="AN28:AR28"/>
    <mergeCell ref="AS28:AW28"/>
    <mergeCell ref="AS27:AW27"/>
    <mergeCell ref="AN27:AR27"/>
    <mergeCell ref="AD22:AH22"/>
    <mergeCell ref="AI22:AM22"/>
    <mergeCell ref="AN22:AR22"/>
    <mergeCell ref="AS22:AW22"/>
    <mergeCell ref="AN23:AR23"/>
    <mergeCell ref="AS23:AW23"/>
    <mergeCell ref="E28:I28"/>
    <mergeCell ref="J28:N28"/>
    <mergeCell ref="O28:S28"/>
    <mergeCell ref="E27:I27"/>
    <mergeCell ref="J27:N27"/>
    <mergeCell ref="O27:S27"/>
    <mergeCell ref="AI27:AM27"/>
    <mergeCell ref="AS41:AW41"/>
    <mergeCell ref="AN41:AR41"/>
    <mergeCell ref="AD29:AH29"/>
    <mergeCell ref="AI29:AM29"/>
    <mergeCell ref="AN29:AR29"/>
    <mergeCell ref="AS29:AW29"/>
    <mergeCell ref="E29:I29"/>
    <mergeCell ref="J29:N29"/>
    <mergeCell ref="O29:S29"/>
    <mergeCell ref="T29:X29"/>
    <mergeCell ref="Y29:AC29"/>
    <mergeCell ref="E36:I36"/>
    <mergeCell ref="J36:N36"/>
    <mergeCell ref="O36:S36"/>
    <mergeCell ref="T36:X36"/>
    <mergeCell ref="Y36:AC36"/>
    <mergeCell ref="AD36:AH36"/>
    <mergeCell ref="E33:I33"/>
    <mergeCell ref="J33:N33"/>
    <mergeCell ref="O33:S33"/>
    <mergeCell ref="T33:X33"/>
    <mergeCell ref="Y33:AC33"/>
    <mergeCell ref="AD33:AH33"/>
    <mergeCell ref="E34:I34"/>
    <mergeCell ref="E41:I41"/>
    <mergeCell ref="J41:N41"/>
    <mergeCell ref="O41:S41"/>
    <mergeCell ref="J35:N35"/>
    <mergeCell ref="O35:S35"/>
    <mergeCell ref="AD35:AH35"/>
    <mergeCell ref="Y38:AC38"/>
    <mergeCell ref="T39:X39"/>
    <mergeCell ref="Y39:AC39"/>
    <mergeCell ref="AD39:AH39"/>
    <mergeCell ref="AI41:AM41"/>
    <mergeCell ref="AD43:AH43"/>
    <mergeCell ref="AI43:AM43"/>
    <mergeCell ref="AD41:AH41"/>
    <mergeCell ref="T41:X41"/>
    <mergeCell ref="Y41:AC41"/>
    <mergeCell ref="T42:X42"/>
    <mergeCell ref="Y42:AC42"/>
    <mergeCell ref="AD42:AH42"/>
    <mergeCell ref="AI42:AM42"/>
    <mergeCell ref="AN43:AR43"/>
    <mergeCell ref="AS43:AW43"/>
    <mergeCell ref="E43:I43"/>
    <mergeCell ref="J43:N43"/>
    <mergeCell ref="O43:S43"/>
    <mergeCell ref="T43:X43"/>
    <mergeCell ref="Y43:AC43"/>
    <mergeCell ref="E42:I42"/>
    <mergeCell ref="J42:N42"/>
    <mergeCell ref="O42:S42"/>
    <mergeCell ref="AN42:AR42"/>
    <mergeCell ref="AS42:AW4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D85C6"/>
    <outlinePr summaryBelow="0" summaryRight="0"/>
    <pageSetUpPr fitToPage="1"/>
  </sheetPr>
  <dimension ref="A1:GB71"/>
  <sheetViews>
    <sheetView showGridLines="0" workbookViewId="0">
      <selection activeCell="AS45" sqref="AS45:AW45"/>
    </sheetView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75" customWidth="1"/>
    <col min="4" max="4" width="15.75" customWidth="1"/>
    <col min="5" max="18" width="3" customWidth="1"/>
    <col min="19" max="19" width="25.75" customWidth="1"/>
    <col min="20" max="23" width="3" customWidth="1"/>
    <col min="24" max="24" width="2.75" customWidth="1"/>
    <col min="25" max="78" width="3" customWidth="1"/>
    <col min="79" max="79" width="12.25" customWidth="1"/>
    <col min="8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434</v>
      </c>
      <c r="F2" s="22"/>
      <c r="G2" s="22"/>
      <c r="H2" s="22"/>
      <c r="I2" s="23"/>
      <c r="J2" s="32">
        <f t="shared" ref="J2:J17" si="0">E2*0.00125</f>
        <v>0.54249999999999998</v>
      </c>
      <c r="K2" s="22"/>
      <c r="L2" s="22"/>
      <c r="M2" s="22"/>
      <c r="N2" s="23"/>
      <c r="O2" s="32">
        <v>1527</v>
      </c>
      <c r="P2" s="22"/>
      <c r="Q2" s="22"/>
      <c r="R2" s="22"/>
      <c r="S2" s="23"/>
      <c r="T2" s="24">
        <v>434</v>
      </c>
      <c r="U2" s="22"/>
      <c r="V2" s="22"/>
      <c r="W2" s="22"/>
      <c r="X2" s="23"/>
      <c r="Y2" s="24">
        <f t="shared" ref="Y2:Y46" si="1">T2*0.001333</f>
        <v>0.57852199999999998</v>
      </c>
      <c r="Z2" s="22"/>
      <c r="AA2" s="22"/>
      <c r="AB2" s="22"/>
      <c r="AC2" s="23"/>
      <c r="AD2" s="24">
        <v>1551</v>
      </c>
      <c r="AE2" s="22"/>
      <c r="AF2" s="22"/>
      <c r="AG2" s="22"/>
      <c r="AH2" s="23"/>
      <c r="AI2" s="26">
        <v>1610</v>
      </c>
      <c r="AJ2" s="22"/>
      <c r="AK2" s="22"/>
      <c r="AL2" s="22"/>
      <c r="AM2" s="23"/>
      <c r="AN2" s="26">
        <v>1650</v>
      </c>
      <c r="AO2" s="22"/>
      <c r="AP2" s="22"/>
      <c r="AQ2" s="22"/>
      <c r="AR2" s="23"/>
      <c r="AS2" s="26"/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446</v>
      </c>
      <c r="F3" s="22"/>
      <c r="G3" s="22"/>
      <c r="H3" s="22"/>
      <c r="I3" s="23"/>
      <c r="J3" s="32">
        <f t="shared" si="0"/>
        <v>0.5575</v>
      </c>
      <c r="K3" s="22"/>
      <c r="L3" s="22"/>
      <c r="M3" s="22"/>
      <c r="N3" s="23"/>
      <c r="O3" s="32">
        <v>1531</v>
      </c>
      <c r="P3" s="22"/>
      <c r="Q3" s="22"/>
      <c r="R3" s="22"/>
      <c r="S3" s="23"/>
      <c r="T3" s="36">
        <v>446</v>
      </c>
      <c r="U3" s="22"/>
      <c r="V3" s="22"/>
      <c r="W3" s="22"/>
      <c r="X3" s="23"/>
      <c r="Y3" s="24">
        <f t="shared" si="1"/>
        <v>0.59451799999999999</v>
      </c>
      <c r="Z3" s="22"/>
      <c r="AA3" s="22"/>
      <c r="AB3" s="22"/>
      <c r="AC3" s="23"/>
      <c r="AD3" s="24">
        <v>1555</v>
      </c>
      <c r="AE3" s="22"/>
      <c r="AF3" s="22"/>
      <c r="AG3" s="22"/>
      <c r="AH3" s="23"/>
      <c r="AI3" s="26">
        <v>1611</v>
      </c>
      <c r="AJ3" s="22"/>
      <c r="AK3" s="22"/>
      <c r="AL3" s="22"/>
      <c r="AM3" s="23"/>
      <c r="AN3" s="26">
        <v>1651</v>
      </c>
      <c r="AO3" s="22"/>
      <c r="AP3" s="22"/>
      <c r="AQ3" s="22"/>
      <c r="AR3" s="23"/>
      <c r="AS3" s="26"/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435</v>
      </c>
      <c r="F4" s="22"/>
      <c r="G4" s="22"/>
      <c r="H4" s="22"/>
      <c r="I4" s="23"/>
      <c r="J4" s="32">
        <f t="shared" si="0"/>
        <v>0.54375000000000007</v>
      </c>
      <c r="K4" s="22"/>
      <c r="L4" s="22"/>
      <c r="M4" s="22"/>
      <c r="N4" s="23"/>
      <c r="O4" s="32">
        <v>1616</v>
      </c>
      <c r="P4" s="22"/>
      <c r="Q4" s="22"/>
      <c r="R4" s="22"/>
      <c r="S4" s="23"/>
      <c r="T4" s="36">
        <v>435</v>
      </c>
      <c r="U4" s="22"/>
      <c r="V4" s="22"/>
      <c r="W4" s="22"/>
      <c r="X4" s="23"/>
      <c r="Y4" s="24">
        <f t="shared" si="1"/>
        <v>0.57985500000000001</v>
      </c>
      <c r="Z4" s="22"/>
      <c r="AA4" s="22"/>
      <c r="AB4" s="22"/>
      <c r="AC4" s="23"/>
      <c r="AD4" s="24">
        <v>1646</v>
      </c>
      <c r="AE4" s="22"/>
      <c r="AF4" s="22"/>
      <c r="AG4" s="22"/>
      <c r="AH4" s="23"/>
      <c r="AI4" s="26">
        <v>1707</v>
      </c>
      <c r="AJ4" s="22"/>
      <c r="AK4" s="22"/>
      <c r="AL4" s="22"/>
      <c r="AM4" s="23"/>
      <c r="AN4" s="26">
        <v>1747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433</v>
      </c>
      <c r="F5" s="22"/>
      <c r="G5" s="22"/>
      <c r="H5" s="22"/>
      <c r="I5" s="23"/>
      <c r="J5" s="32">
        <f t="shared" si="0"/>
        <v>0.54125000000000001</v>
      </c>
      <c r="K5" s="22"/>
      <c r="L5" s="22"/>
      <c r="M5" s="22"/>
      <c r="N5" s="23"/>
      <c r="O5" s="32">
        <v>1617</v>
      </c>
      <c r="P5" s="22"/>
      <c r="Q5" s="22"/>
      <c r="R5" s="22"/>
      <c r="S5" s="23"/>
      <c r="T5" s="36">
        <v>433</v>
      </c>
      <c r="U5" s="22"/>
      <c r="V5" s="22"/>
      <c r="W5" s="22"/>
      <c r="X5" s="23"/>
      <c r="Y5" s="24">
        <f t="shared" si="1"/>
        <v>0.57718899999999995</v>
      </c>
      <c r="Z5" s="22"/>
      <c r="AA5" s="22"/>
      <c r="AB5" s="22"/>
      <c r="AC5" s="23"/>
      <c r="AD5" s="24">
        <v>1648</v>
      </c>
      <c r="AE5" s="22"/>
      <c r="AF5" s="22"/>
      <c r="AG5" s="22"/>
      <c r="AH5" s="23"/>
      <c r="AI5" s="26">
        <v>1708</v>
      </c>
      <c r="AJ5" s="22"/>
      <c r="AK5" s="22"/>
      <c r="AL5" s="22"/>
      <c r="AM5" s="23"/>
      <c r="AN5" s="26">
        <v>1748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465</v>
      </c>
      <c r="F6" s="22"/>
      <c r="G6" s="22"/>
      <c r="H6" s="22"/>
      <c r="I6" s="23"/>
      <c r="J6" s="32">
        <f t="shared" si="0"/>
        <v>0.58125000000000004</v>
      </c>
      <c r="K6" s="22"/>
      <c r="L6" s="22"/>
      <c r="M6" s="22"/>
      <c r="N6" s="23"/>
      <c r="O6" s="32">
        <v>1620</v>
      </c>
      <c r="P6" s="22"/>
      <c r="Q6" s="22"/>
      <c r="R6" s="22"/>
      <c r="S6" s="23"/>
      <c r="T6" s="24">
        <v>465</v>
      </c>
      <c r="U6" s="22"/>
      <c r="V6" s="22"/>
      <c r="W6" s="22"/>
      <c r="X6" s="23"/>
      <c r="Y6" s="24">
        <f t="shared" si="1"/>
        <v>0.61984499999999998</v>
      </c>
      <c r="Z6" s="22"/>
      <c r="AA6" s="22"/>
      <c r="AB6" s="22"/>
      <c r="AC6" s="23"/>
      <c r="AD6" s="24">
        <v>1651</v>
      </c>
      <c r="AE6" s="22"/>
      <c r="AF6" s="22"/>
      <c r="AG6" s="22"/>
      <c r="AH6" s="23"/>
      <c r="AI6" s="26">
        <v>1709</v>
      </c>
      <c r="AJ6" s="22"/>
      <c r="AK6" s="22"/>
      <c r="AL6" s="22"/>
      <c r="AM6" s="23"/>
      <c r="AN6" s="26">
        <v>1749</v>
      </c>
      <c r="AO6" s="22"/>
      <c r="AP6" s="22"/>
      <c r="AQ6" s="22"/>
      <c r="AR6" s="23"/>
      <c r="AS6" s="26"/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417</v>
      </c>
      <c r="F7" s="22"/>
      <c r="G7" s="22"/>
      <c r="H7" s="22"/>
      <c r="I7" s="23"/>
      <c r="J7" s="32">
        <f t="shared" si="0"/>
        <v>0.52124999999999999</v>
      </c>
      <c r="K7" s="22"/>
      <c r="L7" s="22"/>
      <c r="M7" s="22"/>
      <c r="N7" s="23"/>
      <c r="O7" s="32">
        <v>1622</v>
      </c>
      <c r="P7" s="22"/>
      <c r="Q7" s="22"/>
      <c r="R7" s="22"/>
      <c r="S7" s="23"/>
      <c r="T7" s="24">
        <v>417</v>
      </c>
      <c r="U7" s="22"/>
      <c r="V7" s="22"/>
      <c r="W7" s="22"/>
      <c r="X7" s="23"/>
      <c r="Y7" s="24">
        <f t="shared" si="1"/>
        <v>0.55586099999999994</v>
      </c>
      <c r="Z7" s="22"/>
      <c r="AA7" s="22"/>
      <c r="AB7" s="22"/>
      <c r="AC7" s="23"/>
      <c r="AD7" s="24">
        <v>1654</v>
      </c>
      <c r="AE7" s="22"/>
      <c r="AF7" s="22"/>
      <c r="AG7" s="22"/>
      <c r="AH7" s="23"/>
      <c r="AI7" s="26">
        <v>1710</v>
      </c>
      <c r="AJ7" s="22"/>
      <c r="AK7" s="22"/>
      <c r="AL7" s="22"/>
      <c r="AM7" s="23"/>
      <c r="AN7" s="26">
        <v>1750</v>
      </c>
      <c r="AO7" s="22"/>
      <c r="AP7" s="22"/>
      <c r="AQ7" s="22"/>
      <c r="AR7" s="23"/>
      <c r="AS7" s="26"/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441</v>
      </c>
      <c r="F8" s="22"/>
      <c r="G8" s="22"/>
      <c r="H8" s="22"/>
      <c r="I8" s="23"/>
      <c r="J8" s="32">
        <f t="shared" si="0"/>
        <v>0.55125000000000002</v>
      </c>
      <c r="K8" s="22"/>
      <c r="L8" s="22"/>
      <c r="M8" s="22"/>
      <c r="N8" s="23"/>
      <c r="O8" s="32">
        <v>1623</v>
      </c>
      <c r="P8" s="22"/>
      <c r="Q8" s="22"/>
      <c r="R8" s="22"/>
      <c r="S8" s="23"/>
      <c r="T8" s="24">
        <v>441</v>
      </c>
      <c r="U8" s="22"/>
      <c r="V8" s="22"/>
      <c r="W8" s="22"/>
      <c r="X8" s="23"/>
      <c r="Y8" s="24">
        <f t="shared" si="1"/>
        <v>0.58785299999999996</v>
      </c>
      <c r="Z8" s="22"/>
      <c r="AA8" s="22"/>
      <c r="AB8" s="22"/>
      <c r="AC8" s="23"/>
      <c r="AD8" s="24">
        <v>1657</v>
      </c>
      <c r="AE8" s="22"/>
      <c r="AF8" s="22"/>
      <c r="AG8" s="22"/>
      <c r="AH8" s="23"/>
      <c r="AI8" s="26">
        <v>1711</v>
      </c>
      <c r="AJ8" s="22"/>
      <c r="AK8" s="22"/>
      <c r="AL8" s="22"/>
      <c r="AM8" s="23"/>
      <c r="AN8" s="26">
        <v>1751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287</v>
      </c>
      <c r="F9" s="22"/>
      <c r="G9" s="22"/>
      <c r="H9" s="22"/>
      <c r="I9" s="23"/>
      <c r="J9" s="32">
        <f t="shared" si="0"/>
        <v>0.35875000000000001</v>
      </c>
      <c r="K9" s="22"/>
      <c r="L9" s="22"/>
      <c r="M9" s="22"/>
      <c r="N9" s="23"/>
      <c r="O9" s="32">
        <v>1734</v>
      </c>
      <c r="P9" s="22"/>
      <c r="Q9" s="22"/>
      <c r="R9" s="22"/>
      <c r="S9" s="23"/>
      <c r="T9" s="24">
        <v>287</v>
      </c>
      <c r="U9" s="22"/>
      <c r="V9" s="22"/>
      <c r="W9" s="22"/>
      <c r="X9" s="23"/>
      <c r="Y9" s="24">
        <f t="shared" si="1"/>
        <v>0.38257099999999999</v>
      </c>
      <c r="Z9" s="22"/>
      <c r="AA9" s="22"/>
      <c r="AB9" s="22"/>
      <c r="AC9" s="23"/>
      <c r="AD9" s="24">
        <v>1754</v>
      </c>
      <c r="AE9" s="22"/>
      <c r="AF9" s="22"/>
      <c r="AG9" s="22"/>
      <c r="AH9" s="23"/>
      <c r="AI9" s="26">
        <v>1811</v>
      </c>
      <c r="AJ9" s="22"/>
      <c r="AK9" s="22"/>
      <c r="AL9" s="22"/>
      <c r="AM9" s="23"/>
      <c r="AN9" s="26">
        <v>1851</v>
      </c>
      <c r="AO9" s="22"/>
      <c r="AP9" s="22"/>
      <c r="AQ9" s="22"/>
      <c r="AR9" s="23"/>
      <c r="AS9" s="26"/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447</v>
      </c>
      <c r="F10" s="22"/>
      <c r="G10" s="22"/>
      <c r="H10" s="22"/>
      <c r="I10" s="23"/>
      <c r="J10" s="32">
        <f t="shared" si="0"/>
        <v>0.55874999999999997</v>
      </c>
      <c r="K10" s="22"/>
      <c r="L10" s="22"/>
      <c r="M10" s="22"/>
      <c r="N10" s="23"/>
      <c r="O10" s="32">
        <v>1115</v>
      </c>
      <c r="P10" s="22"/>
      <c r="Q10" s="22"/>
      <c r="R10" s="22"/>
      <c r="S10" s="23"/>
      <c r="T10" s="24">
        <v>447</v>
      </c>
      <c r="U10" s="22"/>
      <c r="V10" s="22"/>
      <c r="W10" s="22"/>
      <c r="X10" s="23"/>
      <c r="Y10" s="24">
        <f t="shared" si="1"/>
        <v>0.59585100000000002</v>
      </c>
      <c r="Z10" s="22"/>
      <c r="AA10" s="22"/>
      <c r="AB10" s="22"/>
      <c r="AC10" s="23"/>
      <c r="AD10" s="24">
        <v>1137</v>
      </c>
      <c r="AE10" s="22"/>
      <c r="AF10" s="22"/>
      <c r="AG10" s="22"/>
      <c r="AH10" s="23"/>
      <c r="AI10" s="26">
        <v>1151</v>
      </c>
      <c r="AJ10" s="22"/>
      <c r="AK10" s="22"/>
      <c r="AL10" s="22"/>
      <c r="AM10" s="23"/>
      <c r="AN10" s="26">
        <v>1231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446</v>
      </c>
      <c r="F11" s="22"/>
      <c r="G11" s="22"/>
      <c r="H11" s="22"/>
      <c r="I11" s="23"/>
      <c r="J11" s="32">
        <f t="shared" si="0"/>
        <v>0.5575</v>
      </c>
      <c r="K11" s="22"/>
      <c r="L11" s="22"/>
      <c r="M11" s="22"/>
      <c r="N11" s="23"/>
      <c r="O11" s="32">
        <v>1118</v>
      </c>
      <c r="P11" s="22"/>
      <c r="Q11" s="22"/>
      <c r="R11" s="22"/>
      <c r="S11" s="23"/>
      <c r="T11" s="36">
        <v>446</v>
      </c>
      <c r="U11" s="22"/>
      <c r="V11" s="22"/>
      <c r="W11" s="22"/>
      <c r="X11" s="23"/>
      <c r="Y11" s="24">
        <f t="shared" si="1"/>
        <v>0.59451799999999999</v>
      </c>
      <c r="Z11" s="22"/>
      <c r="AA11" s="22"/>
      <c r="AB11" s="22"/>
      <c r="AC11" s="23"/>
      <c r="AD11" s="24">
        <v>1140</v>
      </c>
      <c r="AE11" s="22"/>
      <c r="AF11" s="22"/>
      <c r="AG11" s="22"/>
      <c r="AH11" s="23"/>
      <c r="AI11" s="26">
        <v>1152</v>
      </c>
      <c r="AJ11" s="22"/>
      <c r="AK11" s="22"/>
      <c r="AL11" s="22"/>
      <c r="AM11" s="23"/>
      <c r="AN11" s="26">
        <v>1232</v>
      </c>
      <c r="AO11" s="22"/>
      <c r="AP11" s="22"/>
      <c r="AQ11" s="22"/>
      <c r="AR11" s="23"/>
      <c r="AS11" s="26"/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453</v>
      </c>
      <c r="F12" s="22"/>
      <c r="G12" s="22"/>
      <c r="H12" s="22"/>
      <c r="I12" s="23"/>
      <c r="J12" s="32">
        <f t="shared" si="0"/>
        <v>0.56625000000000003</v>
      </c>
      <c r="K12" s="22"/>
      <c r="L12" s="22"/>
      <c r="M12" s="22"/>
      <c r="N12" s="23"/>
      <c r="O12" s="32">
        <v>1308</v>
      </c>
      <c r="P12" s="22"/>
      <c r="Q12" s="22"/>
      <c r="R12" s="22"/>
      <c r="S12" s="23"/>
      <c r="T12" s="36">
        <v>453</v>
      </c>
      <c r="U12" s="22"/>
      <c r="V12" s="22"/>
      <c r="W12" s="22"/>
      <c r="X12" s="23"/>
      <c r="Y12" s="24">
        <f t="shared" si="1"/>
        <v>0.60384899999999997</v>
      </c>
      <c r="Z12" s="22"/>
      <c r="AA12" s="22"/>
      <c r="AB12" s="22"/>
      <c r="AC12" s="23"/>
      <c r="AD12" s="24">
        <v>1331</v>
      </c>
      <c r="AE12" s="22"/>
      <c r="AF12" s="22"/>
      <c r="AG12" s="22"/>
      <c r="AH12" s="23"/>
      <c r="AI12" s="26">
        <v>1354</v>
      </c>
      <c r="AJ12" s="22"/>
      <c r="AK12" s="22"/>
      <c r="AL12" s="22"/>
      <c r="AM12" s="23"/>
      <c r="AN12" s="26">
        <v>1434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513</v>
      </c>
      <c r="F13" s="22"/>
      <c r="G13" s="22"/>
      <c r="H13" s="22"/>
      <c r="I13" s="23"/>
      <c r="J13" s="32">
        <f t="shared" si="0"/>
        <v>0.64124999999999999</v>
      </c>
      <c r="K13" s="22"/>
      <c r="L13" s="22"/>
      <c r="M13" s="22"/>
      <c r="N13" s="23"/>
      <c r="O13" s="32">
        <v>1310</v>
      </c>
      <c r="P13" s="22"/>
      <c r="Q13" s="22"/>
      <c r="R13" s="22"/>
      <c r="S13" s="23"/>
      <c r="T13" s="36">
        <v>513</v>
      </c>
      <c r="U13" s="22"/>
      <c r="V13" s="22"/>
      <c r="W13" s="22"/>
      <c r="X13" s="23"/>
      <c r="Y13" s="24">
        <f t="shared" si="1"/>
        <v>0.68382900000000002</v>
      </c>
      <c r="Z13" s="22"/>
      <c r="AA13" s="22"/>
      <c r="AB13" s="22"/>
      <c r="AC13" s="23"/>
      <c r="AD13" s="24">
        <v>1334</v>
      </c>
      <c r="AE13" s="22"/>
      <c r="AF13" s="22"/>
      <c r="AG13" s="22"/>
      <c r="AH13" s="23"/>
      <c r="AI13" s="26">
        <v>1355</v>
      </c>
      <c r="AJ13" s="22"/>
      <c r="AK13" s="22"/>
      <c r="AL13" s="22"/>
      <c r="AM13" s="23"/>
      <c r="AN13" s="26">
        <v>1435</v>
      </c>
      <c r="AO13" s="22"/>
      <c r="AP13" s="22"/>
      <c r="AQ13" s="22"/>
      <c r="AR13" s="23"/>
      <c r="AS13" s="26"/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293</v>
      </c>
      <c r="F14" s="22"/>
      <c r="G14" s="22"/>
      <c r="H14" s="22"/>
      <c r="I14" s="23"/>
      <c r="J14" s="32">
        <f t="shared" si="0"/>
        <v>0.36625000000000002</v>
      </c>
      <c r="K14" s="22"/>
      <c r="L14" s="22"/>
      <c r="M14" s="22"/>
      <c r="N14" s="23"/>
      <c r="O14" s="32">
        <v>1312</v>
      </c>
      <c r="P14" s="22"/>
      <c r="Q14" s="22"/>
      <c r="R14" s="22"/>
      <c r="S14" s="23"/>
      <c r="T14" s="24">
        <v>293</v>
      </c>
      <c r="U14" s="22"/>
      <c r="V14" s="22"/>
      <c r="W14" s="22"/>
      <c r="X14" s="23"/>
      <c r="Y14" s="24">
        <f t="shared" si="1"/>
        <v>0.390569</v>
      </c>
      <c r="Z14" s="22"/>
      <c r="AA14" s="22"/>
      <c r="AB14" s="22"/>
      <c r="AC14" s="23"/>
      <c r="AD14" s="24">
        <v>1337</v>
      </c>
      <c r="AE14" s="22"/>
      <c r="AF14" s="22"/>
      <c r="AG14" s="22"/>
      <c r="AH14" s="23"/>
      <c r="AI14" s="26">
        <v>1356</v>
      </c>
      <c r="AJ14" s="22"/>
      <c r="AK14" s="22"/>
      <c r="AL14" s="22"/>
      <c r="AM14" s="23"/>
      <c r="AN14" s="26">
        <v>1436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275</v>
      </c>
      <c r="F15" s="22"/>
      <c r="G15" s="22"/>
      <c r="H15" s="22"/>
      <c r="I15" s="23"/>
      <c r="J15" s="32">
        <f t="shared" si="0"/>
        <v>0.34375</v>
      </c>
      <c r="K15" s="22"/>
      <c r="L15" s="22"/>
      <c r="M15" s="22"/>
      <c r="N15" s="23"/>
      <c r="O15" s="32">
        <v>1316</v>
      </c>
      <c r="P15" s="22"/>
      <c r="Q15" s="22"/>
      <c r="R15" s="22"/>
      <c r="S15" s="23"/>
      <c r="T15" s="24">
        <v>275</v>
      </c>
      <c r="U15" s="22"/>
      <c r="V15" s="22"/>
      <c r="W15" s="22"/>
      <c r="X15" s="23"/>
      <c r="Y15" s="24">
        <f t="shared" si="1"/>
        <v>0.36657499999999998</v>
      </c>
      <c r="Z15" s="22"/>
      <c r="AA15" s="22"/>
      <c r="AB15" s="22"/>
      <c r="AC15" s="23"/>
      <c r="AD15" s="24">
        <v>1340</v>
      </c>
      <c r="AE15" s="22"/>
      <c r="AF15" s="22"/>
      <c r="AG15" s="22"/>
      <c r="AH15" s="23"/>
      <c r="AI15" s="26">
        <v>1357</v>
      </c>
      <c r="AJ15" s="22"/>
      <c r="AK15" s="22"/>
      <c r="AL15" s="22"/>
      <c r="AM15" s="23"/>
      <c r="AN15" s="26">
        <v>1437</v>
      </c>
      <c r="AO15" s="22"/>
      <c r="AP15" s="22"/>
      <c r="AQ15" s="22"/>
      <c r="AR15" s="23"/>
      <c r="AS15" s="26" t="s">
        <v>116</v>
      </c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454</v>
      </c>
      <c r="F16" s="22"/>
      <c r="G16" s="22"/>
      <c r="H16" s="22"/>
      <c r="I16" s="23"/>
      <c r="J16" s="32">
        <f t="shared" si="0"/>
        <v>0.5675</v>
      </c>
      <c r="K16" s="22"/>
      <c r="L16" s="22"/>
      <c r="M16" s="22"/>
      <c r="N16" s="23"/>
      <c r="O16" s="32">
        <v>1321</v>
      </c>
      <c r="P16" s="22"/>
      <c r="Q16" s="22"/>
      <c r="R16" s="22"/>
      <c r="S16" s="23"/>
      <c r="T16" s="24">
        <v>454</v>
      </c>
      <c r="U16" s="22"/>
      <c r="V16" s="22"/>
      <c r="W16" s="22"/>
      <c r="X16" s="23"/>
      <c r="Y16" s="24">
        <f t="shared" si="1"/>
        <v>0.605182</v>
      </c>
      <c r="Z16" s="22"/>
      <c r="AA16" s="22"/>
      <c r="AB16" s="22"/>
      <c r="AC16" s="23"/>
      <c r="AD16" s="24">
        <v>1343</v>
      </c>
      <c r="AE16" s="22"/>
      <c r="AF16" s="22"/>
      <c r="AG16" s="22"/>
      <c r="AH16" s="23"/>
      <c r="AI16" s="26">
        <v>1358</v>
      </c>
      <c r="AJ16" s="22"/>
      <c r="AK16" s="22"/>
      <c r="AL16" s="22"/>
      <c r="AM16" s="23"/>
      <c r="AN16" s="26">
        <v>1438</v>
      </c>
      <c r="AO16" s="22"/>
      <c r="AP16" s="22"/>
      <c r="AQ16" s="22"/>
      <c r="AR16" s="23"/>
      <c r="AS16" s="26"/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227</v>
      </c>
      <c r="F17" s="22"/>
      <c r="G17" s="22"/>
      <c r="H17" s="22"/>
      <c r="I17" s="23"/>
      <c r="J17" s="32">
        <f t="shared" si="0"/>
        <v>0.28375</v>
      </c>
      <c r="K17" s="22"/>
      <c r="L17" s="22"/>
      <c r="M17" s="22"/>
      <c r="N17" s="23"/>
      <c r="O17" s="32">
        <v>1412</v>
      </c>
      <c r="P17" s="22"/>
      <c r="Q17" s="22"/>
      <c r="R17" s="22"/>
      <c r="S17" s="23"/>
      <c r="T17" s="24">
        <v>227</v>
      </c>
      <c r="U17" s="22"/>
      <c r="V17" s="22"/>
      <c r="W17" s="22"/>
      <c r="X17" s="23"/>
      <c r="Y17" s="24">
        <f t="shared" si="1"/>
        <v>0.302591</v>
      </c>
      <c r="Z17" s="22"/>
      <c r="AA17" s="22"/>
      <c r="AB17" s="22"/>
      <c r="AC17" s="23"/>
      <c r="AD17" s="24">
        <v>1430</v>
      </c>
      <c r="AE17" s="22"/>
      <c r="AF17" s="22"/>
      <c r="AG17" s="22"/>
      <c r="AH17" s="23"/>
      <c r="AI17" s="26">
        <v>1452</v>
      </c>
      <c r="AJ17" s="22"/>
      <c r="AK17" s="22"/>
      <c r="AL17" s="22"/>
      <c r="AM17" s="23"/>
      <c r="AN17" s="26">
        <v>1532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>
        <v>482</v>
      </c>
      <c r="F18" s="22"/>
      <c r="G18" s="22"/>
      <c r="H18" s="22"/>
      <c r="I18" s="23"/>
      <c r="J18" s="32">
        <f t="shared" ref="J18:J25" si="2">E18*0.0012</f>
        <v>0.57839999999999991</v>
      </c>
      <c r="K18" s="22"/>
      <c r="L18" s="22"/>
      <c r="M18" s="22"/>
      <c r="N18" s="23"/>
      <c r="O18" s="31">
        <v>1000</v>
      </c>
      <c r="P18" s="22"/>
      <c r="Q18" s="22"/>
      <c r="R18" s="22"/>
      <c r="S18" s="23"/>
      <c r="T18" s="25">
        <v>482</v>
      </c>
      <c r="U18" s="22"/>
      <c r="V18" s="22"/>
      <c r="W18" s="22"/>
      <c r="X18" s="23"/>
      <c r="Y18" s="24">
        <f t="shared" si="1"/>
        <v>0.64250600000000002</v>
      </c>
      <c r="Z18" s="22"/>
      <c r="AA18" s="22"/>
      <c r="AB18" s="22"/>
      <c r="AC18" s="23"/>
      <c r="AD18" s="25">
        <v>1017</v>
      </c>
      <c r="AE18" s="22"/>
      <c r="AF18" s="22"/>
      <c r="AG18" s="22"/>
      <c r="AH18" s="23"/>
      <c r="AI18" s="21">
        <v>1045</v>
      </c>
      <c r="AJ18" s="22"/>
      <c r="AK18" s="22"/>
      <c r="AL18" s="22"/>
      <c r="AM18" s="23"/>
      <c r="AN18" s="21">
        <v>1135</v>
      </c>
      <c r="AO18" s="22"/>
      <c r="AP18" s="22"/>
      <c r="AQ18" s="22"/>
      <c r="AR18" s="23"/>
      <c r="AS18" s="21"/>
      <c r="AT18" s="22"/>
      <c r="AU18" s="22"/>
      <c r="AV18" s="22"/>
      <c r="AW18" s="23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>
        <v>419</v>
      </c>
      <c r="F19" s="22"/>
      <c r="G19" s="22"/>
      <c r="H19" s="22"/>
      <c r="I19" s="23"/>
      <c r="J19" s="32">
        <f t="shared" si="2"/>
        <v>0.50279999999999991</v>
      </c>
      <c r="K19" s="22"/>
      <c r="L19" s="22"/>
      <c r="M19" s="22"/>
      <c r="N19" s="23"/>
      <c r="O19" s="31">
        <v>1002</v>
      </c>
      <c r="P19" s="22"/>
      <c r="Q19" s="22"/>
      <c r="R19" s="22"/>
      <c r="S19" s="23"/>
      <c r="T19" s="34">
        <v>419</v>
      </c>
      <c r="U19" s="22"/>
      <c r="V19" s="22"/>
      <c r="W19" s="22"/>
      <c r="X19" s="23"/>
      <c r="Y19" s="24">
        <f t="shared" si="1"/>
        <v>0.558527</v>
      </c>
      <c r="Z19" s="22"/>
      <c r="AA19" s="22"/>
      <c r="AB19" s="22"/>
      <c r="AC19" s="23"/>
      <c r="AD19" s="25">
        <v>1019</v>
      </c>
      <c r="AE19" s="22"/>
      <c r="AF19" s="22"/>
      <c r="AG19" s="22"/>
      <c r="AH19" s="23"/>
      <c r="AI19" s="21">
        <v>1046</v>
      </c>
      <c r="AJ19" s="22"/>
      <c r="AK19" s="22"/>
      <c r="AL19" s="22"/>
      <c r="AM19" s="23"/>
      <c r="AN19" s="21">
        <v>1136</v>
      </c>
      <c r="AO19" s="22"/>
      <c r="AP19" s="22"/>
      <c r="AQ19" s="22"/>
      <c r="AR19" s="23"/>
      <c r="AS19" s="21"/>
      <c r="AT19" s="22"/>
      <c r="AU19" s="22"/>
      <c r="AV19" s="22"/>
      <c r="AW19" s="23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>
        <v>266</v>
      </c>
      <c r="F20" s="22"/>
      <c r="G20" s="22"/>
      <c r="H20" s="22"/>
      <c r="I20" s="23"/>
      <c r="J20" s="32">
        <f t="shared" si="2"/>
        <v>0.31919999999999998</v>
      </c>
      <c r="K20" s="22"/>
      <c r="L20" s="22"/>
      <c r="M20" s="22"/>
      <c r="N20" s="23"/>
      <c r="O20" s="31">
        <v>1006</v>
      </c>
      <c r="P20" s="22"/>
      <c r="Q20" s="22"/>
      <c r="R20" s="22"/>
      <c r="S20" s="23"/>
      <c r="T20" s="34">
        <v>266</v>
      </c>
      <c r="U20" s="22"/>
      <c r="V20" s="22"/>
      <c r="W20" s="22"/>
      <c r="X20" s="23"/>
      <c r="Y20" s="24">
        <f t="shared" si="1"/>
        <v>0.354578</v>
      </c>
      <c r="Z20" s="22"/>
      <c r="AA20" s="22"/>
      <c r="AB20" s="22"/>
      <c r="AC20" s="23"/>
      <c r="AD20" s="37">
        <v>1024</v>
      </c>
      <c r="AE20" s="22"/>
      <c r="AF20" s="22"/>
      <c r="AG20" s="22"/>
      <c r="AH20" s="23"/>
      <c r="AI20" s="21">
        <v>1047</v>
      </c>
      <c r="AJ20" s="22"/>
      <c r="AK20" s="22"/>
      <c r="AL20" s="22"/>
      <c r="AM20" s="23"/>
      <c r="AN20" s="21">
        <v>1137</v>
      </c>
      <c r="AO20" s="22"/>
      <c r="AP20" s="22"/>
      <c r="AQ20" s="22"/>
      <c r="AR20" s="23"/>
      <c r="AS20" s="30" t="s">
        <v>117</v>
      </c>
      <c r="AT20" s="22"/>
      <c r="AU20" s="22"/>
      <c r="AV20" s="22"/>
      <c r="AW20" s="23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>
        <v>274</v>
      </c>
      <c r="F21" s="22"/>
      <c r="G21" s="22"/>
      <c r="H21" s="22"/>
      <c r="I21" s="23"/>
      <c r="J21" s="32">
        <f t="shared" si="2"/>
        <v>0.32879999999999998</v>
      </c>
      <c r="K21" s="22"/>
      <c r="L21" s="22"/>
      <c r="M21" s="22"/>
      <c r="N21" s="23"/>
      <c r="O21" s="31">
        <v>1008</v>
      </c>
      <c r="P21" s="22"/>
      <c r="Q21" s="22"/>
      <c r="R21" s="22"/>
      <c r="S21" s="23"/>
      <c r="T21" s="34">
        <v>274</v>
      </c>
      <c r="U21" s="22"/>
      <c r="V21" s="22"/>
      <c r="W21" s="22"/>
      <c r="X21" s="23"/>
      <c r="Y21" s="24">
        <f t="shared" si="1"/>
        <v>0.36524200000000001</v>
      </c>
      <c r="Z21" s="22"/>
      <c r="AA21" s="22"/>
      <c r="AB21" s="22"/>
      <c r="AC21" s="23"/>
      <c r="AD21" s="25">
        <v>1029</v>
      </c>
      <c r="AE21" s="22"/>
      <c r="AF21" s="22"/>
      <c r="AG21" s="22"/>
      <c r="AH21" s="23"/>
      <c r="AI21" s="21">
        <v>1048</v>
      </c>
      <c r="AJ21" s="22"/>
      <c r="AK21" s="22"/>
      <c r="AL21" s="22"/>
      <c r="AM21" s="23"/>
      <c r="AN21" s="21">
        <v>1138</v>
      </c>
      <c r="AO21" s="22"/>
      <c r="AP21" s="22"/>
      <c r="AQ21" s="22"/>
      <c r="AR21" s="23"/>
      <c r="AS21" s="21"/>
      <c r="AT21" s="22"/>
      <c r="AU21" s="22"/>
      <c r="AV21" s="22"/>
      <c r="AW21" s="23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>
        <v>294</v>
      </c>
      <c r="F22" s="22"/>
      <c r="G22" s="22"/>
      <c r="H22" s="22"/>
      <c r="I22" s="23"/>
      <c r="J22" s="32">
        <f t="shared" si="2"/>
        <v>0.35279999999999995</v>
      </c>
      <c r="K22" s="22"/>
      <c r="L22" s="22"/>
      <c r="M22" s="22"/>
      <c r="N22" s="23"/>
      <c r="O22" s="31">
        <v>1011</v>
      </c>
      <c r="P22" s="22"/>
      <c r="Q22" s="22"/>
      <c r="R22" s="22"/>
      <c r="S22" s="23"/>
      <c r="T22" s="25">
        <v>294</v>
      </c>
      <c r="U22" s="22"/>
      <c r="V22" s="22"/>
      <c r="W22" s="22"/>
      <c r="X22" s="23"/>
      <c r="Y22" s="24">
        <f t="shared" si="1"/>
        <v>0.39190199999999997</v>
      </c>
      <c r="Z22" s="22"/>
      <c r="AA22" s="22"/>
      <c r="AB22" s="22"/>
      <c r="AC22" s="23"/>
      <c r="AD22" s="25">
        <v>1032</v>
      </c>
      <c r="AE22" s="22"/>
      <c r="AF22" s="22"/>
      <c r="AG22" s="22"/>
      <c r="AH22" s="23"/>
      <c r="AI22" s="21">
        <v>1049</v>
      </c>
      <c r="AJ22" s="22"/>
      <c r="AK22" s="22"/>
      <c r="AL22" s="22"/>
      <c r="AM22" s="23"/>
      <c r="AN22" s="21">
        <v>1139</v>
      </c>
      <c r="AO22" s="22"/>
      <c r="AP22" s="22"/>
      <c r="AQ22" s="22"/>
      <c r="AR22" s="23"/>
      <c r="AS22" s="21"/>
      <c r="AT22" s="22"/>
      <c r="AU22" s="22"/>
      <c r="AV22" s="22"/>
      <c r="AW22" s="23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>
        <v>280</v>
      </c>
      <c r="F23" s="22"/>
      <c r="G23" s="22"/>
      <c r="H23" s="22"/>
      <c r="I23" s="23"/>
      <c r="J23" s="32">
        <f t="shared" si="2"/>
        <v>0.33599999999999997</v>
      </c>
      <c r="K23" s="22"/>
      <c r="L23" s="22"/>
      <c r="M23" s="22"/>
      <c r="N23" s="23"/>
      <c r="O23" s="31">
        <v>1103</v>
      </c>
      <c r="P23" s="22"/>
      <c r="Q23" s="22"/>
      <c r="R23" s="22"/>
      <c r="S23" s="23"/>
      <c r="T23" s="25">
        <v>280</v>
      </c>
      <c r="U23" s="22"/>
      <c r="V23" s="22"/>
      <c r="W23" s="22"/>
      <c r="X23" s="23"/>
      <c r="Y23" s="24">
        <f t="shared" si="1"/>
        <v>0.37324000000000002</v>
      </c>
      <c r="Z23" s="22"/>
      <c r="AA23" s="22"/>
      <c r="AB23" s="22"/>
      <c r="AC23" s="23"/>
      <c r="AD23" s="25">
        <v>1123</v>
      </c>
      <c r="AE23" s="22"/>
      <c r="AF23" s="22"/>
      <c r="AG23" s="22"/>
      <c r="AH23" s="23"/>
      <c r="AI23" s="21">
        <v>1148</v>
      </c>
      <c r="AJ23" s="22"/>
      <c r="AK23" s="22"/>
      <c r="AL23" s="22"/>
      <c r="AM23" s="23"/>
      <c r="AN23" s="21">
        <v>1228</v>
      </c>
      <c r="AO23" s="22"/>
      <c r="AP23" s="22"/>
      <c r="AQ23" s="22"/>
      <c r="AR23" s="23"/>
      <c r="AS23" s="21"/>
      <c r="AT23" s="22"/>
      <c r="AU23" s="22"/>
      <c r="AV23" s="22"/>
      <c r="AW23" s="23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>
        <v>417</v>
      </c>
      <c r="F24" s="22"/>
      <c r="G24" s="22"/>
      <c r="H24" s="22"/>
      <c r="I24" s="23"/>
      <c r="J24" s="32">
        <f t="shared" si="2"/>
        <v>0.50039999999999996</v>
      </c>
      <c r="K24" s="22"/>
      <c r="L24" s="22"/>
      <c r="M24" s="22"/>
      <c r="N24" s="23"/>
      <c r="O24" s="31">
        <v>1108</v>
      </c>
      <c r="P24" s="22"/>
      <c r="Q24" s="22"/>
      <c r="R24" s="22"/>
      <c r="S24" s="23"/>
      <c r="T24" s="25">
        <v>417</v>
      </c>
      <c r="U24" s="22"/>
      <c r="V24" s="22"/>
      <c r="W24" s="22"/>
      <c r="X24" s="23"/>
      <c r="Y24" s="24">
        <f t="shared" si="1"/>
        <v>0.55586099999999994</v>
      </c>
      <c r="Z24" s="22"/>
      <c r="AA24" s="22"/>
      <c r="AB24" s="22"/>
      <c r="AC24" s="23"/>
      <c r="AD24" s="25">
        <v>1126</v>
      </c>
      <c r="AE24" s="22"/>
      <c r="AF24" s="22"/>
      <c r="AG24" s="22"/>
      <c r="AH24" s="23"/>
      <c r="AI24" s="21">
        <v>1149</v>
      </c>
      <c r="AJ24" s="22"/>
      <c r="AK24" s="22"/>
      <c r="AL24" s="22"/>
      <c r="AM24" s="23"/>
      <c r="AN24" s="21">
        <v>1229</v>
      </c>
      <c r="AO24" s="22"/>
      <c r="AP24" s="22"/>
      <c r="AQ24" s="22"/>
      <c r="AR24" s="23"/>
      <c r="AS24" s="21"/>
      <c r="AT24" s="22"/>
      <c r="AU24" s="22"/>
      <c r="AV24" s="22"/>
      <c r="AW24" s="23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>
        <v>277</v>
      </c>
      <c r="F25" s="22"/>
      <c r="G25" s="22"/>
      <c r="H25" s="22"/>
      <c r="I25" s="23"/>
      <c r="J25" s="32">
        <f t="shared" si="2"/>
        <v>0.33239999999999997</v>
      </c>
      <c r="K25" s="22"/>
      <c r="L25" s="22"/>
      <c r="M25" s="22"/>
      <c r="N25" s="23"/>
      <c r="O25" s="31">
        <v>1112</v>
      </c>
      <c r="P25" s="22"/>
      <c r="Q25" s="22"/>
      <c r="R25" s="22"/>
      <c r="S25" s="23"/>
      <c r="T25" s="25">
        <v>277</v>
      </c>
      <c r="U25" s="22"/>
      <c r="V25" s="22"/>
      <c r="W25" s="22"/>
      <c r="X25" s="23"/>
      <c r="Y25" s="24">
        <f t="shared" si="1"/>
        <v>0.36924099999999999</v>
      </c>
      <c r="Z25" s="22"/>
      <c r="AA25" s="22"/>
      <c r="AB25" s="22"/>
      <c r="AC25" s="23"/>
      <c r="AD25" s="25">
        <v>1128</v>
      </c>
      <c r="AE25" s="22"/>
      <c r="AF25" s="22"/>
      <c r="AG25" s="22"/>
      <c r="AH25" s="23"/>
      <c r="AI25" s="21">
        <v>1150</v>
      </c>
      <c r="AJ25" s="22"/>
      <c r="AK25" s="22"/>
      <c r="AL25" s="22"/>
      <c r="AM25" s="23"/>
      <c r="AN25" s="21">
        <v>1230</v>
      </c>
      <c r="AO25" s="22"/>
      <c r="AP25" s="22"/>
      <c r="AQ25" s="22"/>
      <c r="AR25" s="23"/>
      <c r="AS25" s="21"/>
      <c r="AT25" s="22"/>
      <c r="AU25" s="22"/>
      <c r="AV25" s="22"/>
      <c r="AW25" s="23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280</v>
      </c>
      <c r="F26" s="22"/>
      <c r="G26" s="22"/>
      <c r="H26" s="22"/>
      <c r="I26" s="23"/>
      <c r="J26" s="32">
        <f t="shared" ref="J26:J39" si="3">E26*0.00125</f>
        <v>0.35000000000000003</v>
      </c>
      <c r="K26" s="22"/>
      <c r="L26" s="22"/>
      <c r="M26" s="22"/>
      <c r="N26" s="23"/>
      <c r="O26" s="31">
        <v>1850</v>
      </c>
      <c r="P26" s="22"/>
      <c r="Q26" s="22"/>
      <c r="R26" s="22"/>
      <c r="S26" s="23"/>
      <c r="T26" s="25">
        <v>280</v>
      </c>
      <c r="U26" s="22"/>
      <c r="V26" s="22"/>
      <c r="W26" s="22"/>
      <c r="X26" s="23"/>
      <c r="Y26" s="24">
        <f t="shared" si="1"/>
        <v>0.37324000000000002</v>
      </c>
      <c r="Z26" s="22"/>
      <c r="AA26" s="22"/>
      <c r="AB26" s="22"/>
      <c r="AC26" s="23"/>
      <c r="AD26" s="25">
        <v>1908</v>
      </c>
      <c r="AE26" s="22"/>
      <c r="AF26" s="22"/>
      <c r="AG26" s="22"/>
      <c r="AH26" s="23"/>
      <c r="AI26" s="21">
        <v>1924</v>
      </c>
      <c r="AJ26" s="22"/>
      <c r="AK26" s="22"/>
      <c r="AL26" s="22"/>
      <c r="AM26" s="23"/>
      <c r="AN26" s="21">
        <v>2004</v>
      </c>
      <c r="AO26" s="22"/>
      <c r="AP26" s="22"/>
      <c r="AQ26" s="22"/>
      <c r="AR26" s="23"/>
      <c r="AS26" s="21"/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271</v>
      </c>
      <c r="F27" s="22"/>
      <c r="G27" s="22"/>
      <c r="H27" s="22"/>
      <c r="I27" s="23"/>
      <c r="J27" s="32">
        <f t="shared" si="3"/>
        <v>0.33875</v>
      </c>
      <c r="K27" s="22"/>
      <c r="L27" s="22"/>
      <c r="M27" s="22"/>
      <c r="N27" s="23"/>
      <c r="O27" s="31">
        <v>1853</v>
      </c>
      <c r="P27" s="22"/>
      <c r="Q27" s="22"/>
      <c r="R27" s="22"/>
      <c r="S27" s="23"/>
      <c r="T27" s="34">
        <v>271</v>
      </c>
      <c r="U27" s="22"/>
      <c r="V27" s="22"/>
      <c r="W27" s="22"/>
      <c r="X27" s="23"/>
      <c r="Y27" s="24">
        <f t="shared" si="1"/>
        <v>0.36124299999999998</v>
      </c>
      <c r="Z27" s="22"/>
      <c r="AA27" s="22"/>
      <c r="AB27" s="22"/>
      <c r="AC27" s="23"/>
      <c r="AD27" s="25">
        <v>1910</v>
      </c>
      <c r="AE27" s="22"/>
      <c r="AF27" s="22"/>
      <c r="AG27" s="22"/>
      <c r="AH27" s="23"/>
      <c r="AI27" s="21">
        <v>1925</v>
      </c>
      <c r="AJ27" s="22"/>
      <c r="AK27" s="22"/>
      <c r="AL27" s="22"/>
      <c r="AM27" s="23"/>
      <c r="AN27" s="21">
        <v>2005</v>
      </c>
      <c r="AO27" s="22"/>
      <c r="AP27" s="22"/>
      <c r="AQ27" s="22"/>
      <c r="AR27" s="23"/>
      <c r="AS27" s="21"/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269</v>
      </c>
      <c r="F28" s="22"/>
      <c r="G28" s="22"/>
      <c r="H28" s="22"/>
      <c r="I28" s="23"/>
      <c r="J28" s="32">
        <f t="shared" si="3"/>
        <v>0.33624999999999999</v>
      </c>
      <c r="K28" s="22"/>
      <c r="L28" s="22"/>
      <c r="M28" s="22"/>
      <c r="N28" s="23"/>
      <c r="O28" s="31">
        <v>1945</v>
      </c>
      <c r="P28" s="22"/>
      <c r="Q28" s="22"/>
      <c r="R28" s="22"/>
      <c r="S28" s="23"/>
      <c r="T28" s="34">
        <v>269</v>
      </c>
      <c r="U28" s="22"/>
      <c r="V28" s="22"/>
      <c r="W28" s="22"/>
      <c r="X28" s="23"/>
      <c r="Y28" s="24">
        <f t="shared" si="1"/>
        <v>0.35857699999999998</v>
      </c>
      <c r="Z28" s="22"/>
      <c r="AA28" s="22"/>
      <c r="AB28" s="22"/>
      <c r="AC28" s="23"/>
      <c r="AD28" s="25">
        <v>1955</v>
      </c>
      <c r="AE28" s="22"/>
      <c r="AF28" s="22"/>
      <c r="AG28" s="22"/>
      <c r="AH28" s="23"/>
      <c r="AI28" s="21">
        <v>2012</v>
      </c>
      <c r="AJ28" s="22"/>
      <c r="AK28" s="22"/>
      <c r="AL28" s="22"/>
      <c r="AM28" s="23"/>
      <c r="AN28" s="21">
        <v>2053</v>
      </c>
      <c r="AO28" s="22"/>
      <c r="AP28" s="22"/>
      <c r="AQ28" s="22"/>
      <c r="AR28" s="23"/>
      <c r="AS28" s="21"/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256</v>
      </c>
      <c r="F29" s="22"/>
      <c r="G29" s="22"/>
      <c r="H29" s="22"/>
      <c r="I29" s="23"/>
      <c r="J29" s="32">
        <f t="shared" si="3"/>
        <v>0.32</v>
      </c>
      <c r="K29" s="22"/>
      <c r="L29" s="22"/>
      <c r="M29" s="22"/>
      <c r="N29" s="23"/>
      <c r="O29" s="31">
        <v>1946</v>
      </c>
      <c r="P29" s="22"/>
      <c r="Q29" s="22"/>
      <c r="R29" s="22"/>
      <c r="S29" s="23"/>
      <c r="T29" s="34">
        <v>256</v>
      </c>
      <c r="U29" s="22"/>
      <c r="V29" s="22"/>
      <c r="W29" s="22"/>
      <c r="X29" s="23"/>
      <c r="Y29" s="24">
        <f t="shared" si="1"/>
        <v>0.341248</v>
      </c>
      <c r="Z29" s="22"/>
      <c r="AA29" s="22"/>
      <c r="AB29" s="22"/>
      <c r="AC29" s="23"/>
      <c r="AD29" s="25">
        <v>1957</v>
      </c>
      <c r="AE29" s="22"/>
      <c r="AF29" s="22"/>
      <c r="AG29" s="22"/>
      <c r="AH29" s="23"/>
      <c r="AI29" s="21">
        <v>2013</v>
      </c>
      <c r="AJ29" s="22"/>
      <c r="AK29" s="22"/>
      <c r="AL29" s="22"/>
      <c r="AM29" s="23"/>
      <c r="AN29" s="21">
        <v>2054</v>
      </c>
      <c r="AO29" s="22"/>
      <c r="AP29" s="22"/>
      <c r="AQ29" s="22"/>
      <c r="AR29" s="23"/>
      <c r="AS29" s="21"/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292</v>
      </c>
      <c r="F30" s="22"/>
      <c r="G30" s="22"/>
      <c r="H30" s="22"/>
      <c r="I30" s="23"/>
      <c r="J30" s="32">
        <f t="shared" si="3"/>
        <v>0.36499999999999999</v>
      </c>
      <c r="K30" s="22"/>
      <c r="L30" s="22"/>
      <c r="M30" s="22"/>
      <c r="N30" s="23"/>
      <c r="O30" s="31">
        <v>1948</v>
      </c>
      <c r="P30" s="22"/>
      <c r="Q30" s="22"/>
      <c r="R30" s="22"/>
      <c r="S30" s="23"/>
      <c r="T30" s="25">
        <v>292</v>
      </c>
      <c r="U30" s="22"/>
      <c r="V30" s="22"/>
      <c r="W30" s="22"/>
      <c r="X30" s="23"/>
      <c r="Y30" s="24">
        <f t="shared" si="1"/>
        <v>0.38923599999999997</v>
      </c>
      <c r="Z30" s="22"/>
      <c r="AA30" s="22"/>
      <c r="AB30" s="22"/>
      <c r="AC30" s="23"/>
      <c r="AD30" s="25">
        <v>1958</v>
      </c>
      <c r="AE30" s="22"/>
      <c r="AF30" s="22"/>
      <c r="AG30" s="22"/>
      <c r="AH30" s="23"/>
      <c r="AI30" s="21">
        <v>2014</v>
      </c>
      <c r="AJ30" s="22"/>
      <c r="AK30" s="22"/>
      <c r="AL30" s="22"/>
      <c r="AM30" s="23"/>
      <c r="AN30" s="21">
        <v>2055</v>
      </c>
      <c r="AO30" s="22"/>
      <c r="AP30" s="22"/>
      <c r="AQ30" s="22"/>
      <c r="AR30" s="23"/>
      <c r="AS30" s="21"/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282</v>
      </c>
      <c r="F31" s="22"/>
      <c r="G31" s="22"/>
      <c r="H31" s="22"/>
      <c r="I31" s="23"/>
      <c r="J31" s="32">
        <f t="shared" si="3"/>
        <v>0.35249999999999998</v>
      </c>
      <c r="K31" s="22"/>
      <c r="L31" s="22"/>
      <c r="M31" s="22"/>
      <c r="N31" s="23"/>
      <c r="O31" s="31">
        <v>1951</v>
      </c>
      <c r="P31" s="22"/>
      <c r="Q31" s="22"/>
      <c r="R31" s="22"/>
      <c r="S31" s="23"/>
      <c r="T31" s="25">
        <v>282</v>
      </c>
      <c r="U31" s="22"/>
      <c r="V31" s="22"/>
      <c r="W31" s="22"/>
      <c r="X31" s="23"/>
      <c r="Y31" s="24">
        <f t="shared" si="1"/>
        <v>0.37590600000000002</v>
      </c>
      <c r="Z31" s="22"/>
      <c r="AA31" s="22"/>
      <c r="AB31" s="22"/>
      <c r="AC31" s="23"/>
      <c r="AD31" s="25">
        <v>2000</v>
      </c>
      <c r="AE31" s="22"/>
      <c r="AF31" s="22"/>
      <c r="AG31" s="22"/>
      <c r="AH31" s="23"/>
      <c r="AI31" s="21">
        <v>2015</v>
      </c>
      <c r="AJ31" s="22"/>
      <c r="AK31" s="22"/>
      <c r="AL31" s="22"/>
      <c r="AM31" s="23"/>
      <c r="AN31" s="21">
        <v>2056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289</v>
      </c>
      <c r="F32" s="22"/>
      <c r="G32" s="22"/>
      <c r="H32" s="22"/>
      <c r="I32" s="23"/>
      <c r="J32" s="32">
        <f t="shared" si="3"/>
        <v>0.36125000000000002</v>
      </c>
      <c r="K32" s="22"/>
      <c r="L32" s="22"/>
      <c r="M32" s="22"/>
      <c r="N32" s="23"/>
      <c r="O32" s="31">
        <v>1952</v>
      </c>
      <c r="P32" s="22"/>
      <c r="Q32" s="22"/>
      <c r="R32" s="22"/>
      <c r="S32" s="23"/>
      <c r="T32" s="25">
        <v>289</v>
      </c>
      <c r="U32" s="22"/>
      <c r="V32" s="22"/>
      <c r="W32" s="22"/>
      <c r="X32" s="23"/>
      <c r="Y32" s="24">
        <f t="shared" si="1"/>
        <v>0.385237</v>
      </c>
      <c r="Z32" s="22"/>
      <c r="AA32" s="22"/>
      <c r="AB32" s="22"/>
      <c r="AC32" s="23"/>
      <c r="AD32" s="25">
        <v>2001</v>
      </c>
      <c r="AE32" s="22"/>
      <c r="AF32" s="22"/>
      <c r="AG32" s="22"/>
      <c r="AH32" s="23"/>
      <c r="AI32" s="21">
        <v>2016</v>
      </c>
      <c r="AJ32" s="22"/>
      <c r="AK32" s="22"/>
      <c r="AL32" s="22"/>
      <c r="AM32" s="23"/>
      <c r="AN32" s="21">
        <v>2057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413</v>
      </c>
      <c r="F33" s="22"/>
      <c r="G33" s="22"/>
      <c r="H33" s="22"/>
      <c r="I33" s="23"/>
      <c r="J33" s="32">
        <f t="shared" si="3"/>
        <v>0.51624999999999999</v>
      </c>
      <c r="K33" s="22"/>
      <c r="L33" s="22"/>
      <c r="M33" s="22"/>
      <c r="N33" s="23"/>
      <c r="O33" s="31">
        <v>1736</v>
      </c>
      <c r="P33" s="22"/>
      <c r="Q33" s="22"/>
      <c r="R33" s="22"/>
      <c r="S33" s="23"/>
      <c r="T33" s="25">
        <v>413</v>
      </c>
      <c r="U33" s="22"/>
      <c r="V33" s="22"/>
      <c r="W33" s="22"/>
      <c r="X33" s="23"/>
      <c r="Y33" s="24">
        <f t="shared" si="1"/>
        <v>0.55052900000000005</v>
      </c>
      <c r="Z33" s="22"/>
      <c r="AA33" s="22"/>
      <c r="AB33" s="22"/>
      <c r="AC33" s="23"/>
      <c r="AD33" s="25">
        <v>1756</v>
      </c>
      <c r="AE33" s="22"/>
      <c r="AF33" s="22"/>
      <c r="AG33" s="22"/>
      <c r="AH33" s="23"/>
      <c r="AI33" s="21">
        <v>1812</v>
      </c>
      <c r="AJ33" s="22"/>
      <c r="AK33" s="22"/>
      <c r="AL33" s="22"/>
      <c r="AM33" s="23"/>
      <c r="AN33" s="21">
        <v>1852</v>
      </c>
      <c r="AO33" s="22"/>
      <c r="AP33" s="22"/>
      <c r="AQ33" s="22"/>
      <c r="AR33" s="23"/>
      <c r="AS33" s="21"/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273</v>
      </c>
      <c r="F34" s="22"/>
      <c r="G34" s="22"/>
      <c r="H34" s="22"/>
      <c r="I34" s="23"/>
      <c r="J34" s="32">
        <f t="shared" si="3"/>
        <v>0.34125</v>
      </c>
      <c r="K34" s="22"/>
      <c r="L34" s="22"/>
      <c r="M34" s="22"/>
      <c r="N34" s="23"/>
      <c r="O34" s="31">
        <v>1737</v>
      </c>
      <c r="P34" s="22"/>
      <c r="Q34" s="22"/>
      <c r="R34" s="22"/>
      <c r="S34" s="23"/>
      <c r="T34" s="34">
        <v>273</v>
      </c>
      <c r="U34" s="22"/>
      <c r="V34" s="22"/>
      <c r="W34" s="22"/>
      <c r="X34" s="23"/>
      <c r="Y34" s="24">
        <f t="shared" si="1"/>
        <v>0.36390899999999998</v>
      </c>
      <c r="Z34" s="22"/>
      <c r="AA34" s="22"/>
      <c r="AB34" s="22"/>
      <c r="AC34" s="23"/>
      <c r="AD34" s="25">
        <v>1758</v>
      </c>
      <c r="AE34" s="22"/>
      <c r="AF34" s="22"/>
      <c r="AG34" s="22"/>
      <c r="AH34" s="23"/>
      <c r="AI34" s="21">
        <v>1813</v>
      </c>
      <c r="AJ34" s="22"/>
      <c r="AK34" s="22"/>
      <c r="AL34" s="22"/>
      <c r="AM34" s="23"/>
      <c r="AN34" s="21">
        <v>1853</v>
      </c>
      <c r="AO34" s="22"/>
      <c r="AP34" s="22"/>
      <c r="AQ34" s="22"/>
      <c r="AR34" s="23"/>
      <c r="AS34" s="21"/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282</v>
      </c>
      <c r="F35" s="22"/>
      <c r="G35" s="22"/>
      <c r="H35" s="22"/>
      <c r="I35" s="23"/>
      <c r="J35" s="32">
        <f t="shared" si="3"/>
        <v>0.35249999999999998</v>
      </c>
      <c r="K35" s="22"/>
      <c r="L35" s="22"/>
      <c r="M35" s="22"/>
      <c r="N35" s="23"/>
      <c r="O35" s="31">
        <v>1740</v>
      </c>
      <c r="P35" s="22"/>
      <c r="Q35" s="22"/>
      <c r="R35" s="22"/>
      <c r="S35" s="23"/>
      <c r="T35" s="34">
        <v>282</v>
      </c>
      <c r="U35" s="22"/>
      <c r="V35" s="22"/>
      <c r="W35" s="22"/>
      <c r="X35" s="23"/>
      <c r="Y35" s="24">
        <f t="shared" si="1"/>
        <v>0.37590600000000002</v>
      </c>
      <c r="Z35" s="22"/>
      <c r="AA35" s="22"/>
      <c r="AB35" s="22"/>
      <c r="AC35" s="23"/>
      <c r="AD35" s="25">
        <v>1800</v>
      </c>
      <c r="AE35" s="22"/>
      <c r="AF35" s="22"/>
      <c r="AG35" s="22"/>
      <c r="AH35" s="23"/>
      <c r="AI35" s="21">
        <v>1814</v>
      </c>
      <c r="AJ35" s="22"/>
      <c r="AK35" s="22"/>
      <c r="AL35" s="22"/>
      <c r="AM35" s="23"/>
      <c r="AN35" s="21">
        <v>1854</v>
      </c>
      <c r="AO35" s="22"/>
      <c r="AP35" s="22"/>
      <c r="AQ35" s="22"/>
      <c r="AR35" s="23"/>
      <c r="AS35" s="21"/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239</v>
      </c>
      <c r="F36" s="22"/>
      <c r="G36" s="22"/>
      <c r="H36" s="22"/>
      <c r="I36" s="23"/>
      <c r="J36" s="32">
        <f t="shared" si="3"/>
        <v>0.29875000000000002</v>
      </c>
      <c r="K36" s="22"/>
      <c r="L36" s="22"/>
      <c r="M36" s="22"/>
      <c r="N36" s="23"/>
      <c r="O36" s="31">
        <v>1643</v>
      </c>
      <c r="P36" s="22"/>
      <c r="Q36" s="22"/>
      <c r="R36" s="22"/>
      <c r="S36" s="23"/>
      <c r="T36" s="34">
        <v>239</v>
      </c>
      <c r="U36" s="22"/>
      <c r="V36" s="22"/>
      <c r="W36" s="22"/>
      <c r="X36" s="23"/>
      <c r="Y36" s="24">
        <f t="shared" si="1"/>
        <v>0.31858700000000001</v>
      </c>
      <c r="Z36" s="22"/>
      <c r="AA36" s="22"/>
      <c r="AB36" s="22"/>
      <c r="AC36" s="23"/>
      <c r="AD36" s="25">
        <v>1802</v>
      </c>
      <c r="AE36" s="22"/>
      <c r="AF36" s="22"/>
      <c r="AG36" s="22"/>
      <c r="AH36" s="23"/>
      <c r="AI36" s="21">
        <v>1815</v>
      </c>
      <c r="AJ36" s="22"/>
      <c r="AK36" s="22"/>
      <c r="AL36" s="22"/>
      <c r="AM36" s="23"/>
      <c r="AN36" s="21">
        <v>1855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439</v>
      </c>
      <c r="F37" s="22"/>
      <c r="G37" s="22"/>
      <c r="H37" s="22"/>
      <c r="I37" s="23"/>
      <c r="J37" s="32">
        <f t="shared" si="3"/>
        <v>0.54874999999999996</v>
      </c>
      <c r="K37" s="22"/>
      <c r="L37" s="22"/>
      <c r="M37" s="22"/>
      <c r="N37" s="23"/>
      <c r="O37" s="31">
        <v>1840</v>
      </c>
      <c r="P37" s="22"/>
      <c r="Q37" s="22"/>
      <c r="R37" s="22"/>
      <c r="S37" s="23"/>
      <c r="T37" s="34">
        <v>439</v>
      </c>
      <c r="U37" s="22"/>
      <c r="V37" s="22"/>
      <c r="W37" s="22"/>
      <c r="X37" s="23"/>
      <c r="Y37" s="24">
        <f t="shared" si="1"/>
        <v>0.58518700000000001</v>
      </c>
      <c r="Z37" s="22"/>
      <c r="AA37" s="22"/>
      <c r="AB37" s="22"/>
      <c r="AC37" s="23"/>
      <c r="AD37" s="25">
        <v>1902</v>
      </c>
      <c r="AE37" s="22"/>
      <c r="AF37" s="22"/>
      <c r="AG37" s="22"/>
      <c r="AH37" s="23"/>
      <c r="AI37" s="21">
        <v>1921</v>
      </c>
      <c r="AJ37" s="22"/>
      <c r="AK37" s="22"/>
      <c r="AL37" s="22"/>
      <c r="AM37" s="23"/>
      <c r="AN37" s="21">
        <v>2001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458</v>
      </c>
      <c r="F38" s="22"/>
      <c r="G38" s="22"/>
      <c r="H38" s="22"/>
      <c r="I38" s="23"/>
      <c r="J38" s="32">
        <f t="shared" si="3"/>
        <v>0.57250000000000001</v>
      </c>
      <c r="K38" s="22"/>
      <c r="L38" s="22"/>
      <c r="M38" s="22"/>
      <c r="N38" s="23"/>
      <c r="O38" s="31">
        <v>1844</v>
      </c>
      <c r="P38" s="22"/>
      <c r="Q38" s="22"/>
      <c r="R38" s="22"/>
      <c r="S38" s="23"/>
      <c r="T38" s="34">
        <v>458</v>
      </c>
      <c r="U38" s="22"/>
      <c r="V38" s="22"/>
      <c r="W38" s="22"/>
      <c r="X38" s="23"/>
      <c r="Y38" s="24">
        <f t="shared" si="1"/>
        <v>0.610514</v>
      </c>
      <c r="Z38" s="22"/>
      <c r="AA38" s="22"/>
      <c r="AB38" s="22"/>
      <c r="AC38" s="23"/>
      <c r="AD38" s="25">
        <v>1904</v>
      </c>
      <c r="AE38" s="22"/>
      <c r="AF38" s="22"/>
      <c r="AG38" s="22"/>
      <c r="AH38" s="23"/>
      <c r="AI38" s="21">
        <v>1922</v>
      </c>
      <c r="AJ38" s="22"/>
      <c r="AK38" s="22"/>
      <c r="AL38" s="22"/>
      <c r="AM38" s="23"/>
      <c r="AN38" s="21">
        <v>2002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282</v>
      </c>
      <c r="F39" s="22"/>
      <c r="G39" s="22"/>
      <c r="H39" s="22"/>
      <c r="I39" s="23"/>
      <c r="J39" s="32">
        <f t="shared" si="3"/>
        <v>0.35249999999999998</v>
      </c>
      <c r="K39" s="22"/>
      <c r="L39" s="22"/>
      <c r="M39" s="22"/>
      <c r="N39" s="23"/>
      <c r="O39" s="31">
        <v>1848</v>
      </c>
      <c r="P39" s="22"/>
      <c r="Q39" s="22"/>
      <c r="R39" s="22"/>
      <c r="S39" s="23"/>
      <c r="T39" s="25">
        <v>282</v>
      </c>
      <c r="U39" s="22"/>
      <c r="V39" s="22"/>
      <c r="W39" s="22"/>
      <c r="X39" s="23"/>
      <c r="Y39" s="24">
        <f t="shared" si="1"/>
        <v>0.37590600000000002</v>
      </c>
      <c r="Z39" s="22"/>
      <c r="AA39" s="22"/>
      <c r="AB39" s="22"/>
      <c r="AC39" s="23"/>
      <c r="AD39" s="25">
        <v>1906</v>
      </c>
      <c r="AE39" s="22"/>
      <c r="AF39" s="22"/>
      <c r="AG39" s="22"/>
      <c r="AH39" s="23"/>
      <c r="AI39" s="21">
        <v>1923</v>
      </c>
      <c r="AJ39" s="22"/>
      <c r="AK39" s="22"/>
      <c r="AL39" s="22"/>
      <c r="AM39" s="23"/>
      <c r="AN39" s="21">
        <v>2003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>
        <v>245</v>
      </c>
      <c r="F40" s="22"/>
      <c r="G40" s="22"/>
      <c r="H40" s="22"/>
      <c r="I40" s="23"/>
      <c r="J40" s="32">
        <f>E40*0.0012</f>
        <v>0.29399999999999998</v>
      </c>
      <c r="K40" s="22"/>
      <c r="L40" s="22"/>
      <c r="M40" s="22"/>
      <c r="N40" s="23"/>
      <c r="O40" s="31">
        <v>1415</v>
      </c>
      <c r="P40" s="22"/>
      <c r="Q40" s="22"/>
      <c r="R40" s="22"/>
      <c r="S40" s="23"/>
      <c r="T40" s="25">
        <v>245</v>
      </c>
      <c r="U40" s="22"/>
      <c r="V40" s="22"/>
      <c r="W40" s="22"/>
      <c r="X40" s="23"/>
      <c r="Y40" s="24">
        <f t="shared" si="1"/>
        <v>0.32658500000000001</v>
      </c>
      <c r="Z40" s="22"/>
      <c r="AA40" s="22"/>
      <c r="AB40" s="22"/>
      <c r="AC40" s="23"/>
      <c r="AD40" s="25">
        <v>1433</v>
      </c>
      <c r="AE40" s="22"/>
      <c r="AF40" s="22"/>
      <c r="AG40" s="22"/>
      <c r="AH40" s="23"/>
      <c r="AI40" s="21">
        <v>1453</v>
      </c>
      <c r="AJ40" s="22"/>
      <c r="AK40" s="22"/>
      <c r="AL40" s="22"/>
      <c r="AM40" s="23"/>
      <c r="AN40" s="21">
        <v>1533</v>
      </c>
      <c r="AO40" s="22"/>
      <c r="AP40" s="22"/>
      <c r="AQ40" s="22"/>
      <c r="AR40" s="23"/>
      <c r="AS40" s="21"/>
      <c r="AT40" s="22"/>
      <c r="AU40" s="22"/>
      <c r="AV40" s="22"/>
      <c r="AW40" s="23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>
        <v>285</v>
      </c>
      <c r="F41" s="22"/>
      <c r="G41" s="22"/>
      <c r="H41" s="22"/>
      <c r="I41" s="23"/>
      <c r="J41" s="32">
        <f t="shared" ref="J41:J46" si="4">E41*0.00125</f>
        <v>0.35625000000000001</v>
      </c>
      <c r="K41" s="22"/>
      <c r="L41" s="22"/>
      <c r="M41" s="22"/>
      <c r="N41" s="23"/>
      <c r="O41" s="31">
        <v>1418</v>
      </c>
      <c r="P41" s="22"/>
      <c r="Q41" s="22"/>
      <c r="R41" s="22"/>
      <c r="S41" s="23"/>
      <c r="T41" s="34">
        <v>285</v>
      </c>
      <c r="U41" s="22"/>
      <c r="V41" s="22"/>
      <c r="W41" s="22"/>
      <c r="X41" s="23"/>
      <c r="Y41" s="24">
        <f t="shared" si="1"/>
        <v>0.37990499999999999</v>
      </c>
      <c r="Z41" s="22"/>
      <c r="AA41" s="22"/>
      <c r="AB41" s="22"/>
      <c r="AC41" s="23"/>
      <c r="AD41" s="25">
        <v>1434</v>
      </c>
      <c r="AE41" s="22"/>
      <c r="AF41" s="22"/>
      <c r="AG41" s="22"/>
      <c r="AH41" s="23"/>
      <c r="AI41" s="21">
        <v>1454</v>
      </c>
      <c r="AJ41" s="22"/>
      <c r="AK41" s="22"/>
      <c r="AL41" s="22"/>
      <c r="AM41" s="23"/>
      <c r="AN41" s="21">
        <v>1534</v>
      </c>
      <c r="AO41" s="22"/>
      <c r="AP41" s="22"/>
      <c r="AQ41" s="22"/>
      <c r="AR41" s="23"/>
      <c r="AS41" s="21"/>
      <c r="AT41" s="22"/>
      <c r="AU41" s="22"/>
      <c r="AV41" s="22"/>
      <c r="AW41" s="23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>
        <v>393</v>
      </c>
      <c r="F42" s="22"/>
      <c r="G42" s="22"/>
      <c r="H42" s="22"/>
      <c r="I42" s="23"/>
      <c r="J42" s="32">
        <f t="shared" si="4"/>
        <v>0.49125000000000002</v>
      </c>
      <c r="K42" s="22"/>
      <c r="L42" s="22"/>
      <c r="M42" s="22"/>
      <c r="N42" s="23"/>
      <c r="O42" s="31">
        <v>1421</v>
      </c>
      <c r="P42" s="22"/>
      <c r="Q42" s="22"/>
      <c r="R42" s="22"/>
      <c r="S42" s="23"/>
      <c r="T42" s="34">
        <v>393</v>
      </c>
      <c r="U42" s="22"/>
      <c r="V42" s="22"/>
      <c r="W42" s="22"/>
      <c r="X42" s="23"/>
      <c r="Y42" s="24">
        <f t="shared" si="1"/>
        <v>0.52386900000000003</v>
      </c>
      <c r="Z42" s="22"/>
      <c r="AA42" s="22"/>
      <c r="AB42" s="22"/>
      <c r="AC42" s="23"/>
      <c r="AD42" s="25">
        <v>1436</v>
      </c>
      <c r="AE42" s="22"/>
      <c r="AF42" s="22"/>
      <c r="AG42" s="22"/>
      <c r="AH42" s="23"/>
      <c r="AI42" s="21">
        <v>1455</v>
      </c>
      <c r="AJ42" s="22"/>
      <c r="AK42" s="22"/>
      <c r="AL42" s="22"/>
      <c r="AM42" s="23"/>
      <c r="AN42" s="21">
        <v>1535</v>
      </c>
      <c r="AO42" s="22"/>
      <c r="AP42" s="22"/>
      <c r="AQ42" s="22"/>
      <c r="AR42" s="23"/>
      <c r="AS42" s="21"/>
      <c r="AT42" s="22"/>
      <c r="AU42" s="22"/>
      <c r="AV42" s="22"/>
      <c r="AW42" s="23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>
        <v>389</v>
      </c>
      <c r="F43" s="22"/>
      <c r="G43" s="22"/>
      <c r="H43" s="22"/>
      <c r="I43" s="23"/>
      <c r="J43" s="32">
        <f t="shared" si="4"/>
        <v>0.48625000000000002</v>
      </c>
      <c r="K43" s="22"/>
      <c r="L43" s="22"/>
      <c r="M43" s="22"/>
      <c r="N43" s="23"/>
      <c r="O43" s="31">
        <v>1425</v>
      </c>
      <c r="P43" s="22"/>
      <c r="Q43" s="22"/>
      <c r="R43" s="22"/>
      <c r="S43" s="23"/>
      <c r="T43" s="34">
        <v>389</v>
      </c>
      <c r="U43" s="22"/>
      <c r="V43" s="22"/>
      <c r="W43" s="22"/>
      <c r="X43" s="23"/>
      <c r="Y43" s="24">
        <f t="shared" si="1"/>
        <v>0.51853700000000003</v>
      </c>
      <c r="Z43" s="22"/>
      <c r="AA43" s="22"/>
      <c r="AB43" s="22"/>
      <c r="AC43" s="23"/>
      <c r="AD43" s="25">
        <v>1438</v>
      </c>
      <c r="AE43" s="22"/>
      <c r="AF43" s="22"/>
      <c r="AG43" s="22"/>
      <c r="AH43" s="23"/>
      <c r="AI43" s="21">
        <v>1456</v>
      </c>
      <c r="AJ43" s="22"/>
      <c r="AK43" s="22"/>
      <c r="AL43" s="22"/>
      <c r="AM43" s="23"/>
      <c r="AN43" s="21">
        <v>1536</v>
      </c>
      <c r="AO43" s="22"/>
      <c r="AP43" s="22"/>
      <c r="AQ43" s="22"/>
      <c r="AR43" s="23"/>
      <c r="AS43" s="21"/>
      <c r="AT43" s="22"/>
      <c r="AU43" s="22"/>
      <c r="AV43" s="22"/>
      <c r="AW43" s="23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>
        <v>426</v>
      </c>
      <c r="F44" s="22"/>
      <c r="G44" s="22"/>
      <c r="H44" s="22"/>
      <c r="I44" s="23"/>
      <c r="J44" s="32">
        <f t="shared" si="4"/>
        <v>0.53249999999999997</v>
      </c>
      <c r="K44" s="22"/>
      <c r="L44" s="22"/>
      <c r="M44" s="22"/>
      <c r="N44" s="23"/>
      <c r="O44" s="41">
        <v>1518</v>
      </c>
      <c r="P44" s="22"/>
      <c r="Q44" s="22"/>
      <c r="R44" s="22"/>
      <c r="S44" s="23"/>
      <c r="T44" s="34">
        <v>426</v>
      </c>
      <c r="U44" s="22"/>
      <c r="V44" s="22"/>
      <c r="W44" s="22"/>
      <c r="X44" s="23"/>
      <c r="Y44" s="24">
        <f t="shared" si="1"/>
        <v>0.56785799999999997</v>
      </c>
      <c r="Z44" s="22"/>
      <c r="AA44" s="22"/>
      <c r="AB44" s="22"/>
      <c r="AC44" s="23"/>
      <c r="AD44" s="25">
        <v>1541</v>
      </c>
      <c r="AE44" s="22"/>
      <c r="AF44" s="22"/>
      <c r="AG44" s="22"/>
      <c r="AH44" s="23"/>
      <c r="AI44" s="21">
        <v>1607</v>
      </c>
      <c r="AJ44" s="22"/>
      <c r="AK44" s="22"/>
      <c r="AL44" s="22"/>
      <c r="AM44" s="23"/>
      <c r="AN44" s="21">
        <v>1647</v>
      </c>
      <c r="AO44" s="22"/>
      <c r="AP44" s="22"/>
      <c r="AQ44" s="22"/>
      <c r="AR44" s="23"/>
      <c r="AS44" s="30" t="s">
        <v>118</v>
      </c>
      <c r="AT44" s="22"/>
      <c r="AU44" s="22"/>
      <c r="AV44" s="22"/>
      <c r="AW44" s="23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>
        <v>433</v>
      </c>
      <c r="F45" s="22"/>
      <c r="G45" s="22"/>
      <c r="H45" s="22"/>
      <c r="I45" s="23"/>
      <c r="J45" s="32">
        <f t="shared" si="4"/>
        <v>0.54125000000000001</v>
      </c>
      <c r="K45" s="22"/>
      <c r="L45" s="22"/>
      <c r="M45" s="22"/>
      <c r="N45" s="23"/>
      <c r="O45" s="31">
        <v>1522</v>
      </c>
      <c r="P45" s="22"/>
      <c r="Q45" s="22"/>
      <c r="R45" s="22"/>
      <c r="S45" s="23"/>
      <c r="T45" s="34">
        <v>433</v>
      </c>
      <c r="U45" s="22"/>
      <c r="V45" s="22"/>
      <c r="W45" s="22"/>
      <c r="X45" s="23"/>
      <c r="Y45" s="24">
        <f t="shared" si="1"/>
        <v>0.57718899999999995</v>
      </c>
      <c r="Z45" s="22"/>
      <c r="AA45" s="22"/>
      <c r="AB45" s="22"/>
      <c r="AC45" s="23"/>
      <c r="AD45" s="25">
        <v>1544</v>
      </c>
      <c r="AE45" s="22"/>
      <c r="AF45" s="22"/>
      <c r="AG45" s="22"/>
      <c r="AH45" s="23"/>
      <c r="AI45" s="21">
        <v>1608</v>
      </c>
      <c r="AJ45" s="22"/>
      <c r="AK45" s="22"/>
      <c r="AL45" s="22"/>
      <c r="AM45" s="23"/>
      <c r="AN45" s="21">
        <v>1648</v>
      </c>
      <c r="AO45" s="22"/>
      <c r="AP45" s="22"/>
      <c r="AQ45" s="22"/>
      <c r="AR45" s="23"/>
      <c r="AS45" s="21"/>
      <c r="AT45" s="22"/>
      <c r="AU45" s="22"/>
      <c r="AV45" s="22"/>
      <c r="AW45" s="23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>
        <v>263</v>
      </c>
      <c r="F46" s="22"/>
      <c r="G46" s="22"/>
      <c r="H46" s="22"/>
      <c r="I46" s="23"/>
      <c r="J46" s="32">
        <f t="shared" si="4"/>
        <v>0.32874999999999999</v>
      </c>
      <c r="K46" s="22"/>
      <c r="L46" s="22"/>
      <c r="M46" s="22"/>
      <c r="N46" s="23"/>
      <c r="O46" s="31">
        <v>1525</v>
      </c>
      <c r="P46" s="22"/>
      <c r="Q46" s="22"/>
      <c r="R46" s="22"/>
      <c r="S46" s="23"/>
      <c r="T46" s="25">
        <v>263</v>
      </c>
      <c r="U46" s="22"/>
      <c r="V46" s="22"/>
      <c r="W46" s="22"/>
      <c r="X46" s="23"/>
      <c r="Y46" s="24">
        <f t="shared" si="1"/>
        <v>0.35057899999999997</v>
      </c>
      <c r="Z46" s="22"/>
      <c r="AA46" s="22"/>
      <c r="AB46" s="22"/>
      <c r="AC46" s="23"/>
      <c r="AD46" s="25">
        <v>1548</v>
      </c>
      <c r="AE46" s="22"/>
      <c r="AF46" s="22"/>
      <c r="AG46" s="22"/>
      <c r="AH46" s="23"/>
      <c r="AI46" s="21">
        <v>1609</v>
      </c>
      <c r="AJ46" s="22"/>
      <c r="AK46" s="22"/>
      <c r="AL46" s="22"/>
      <c r="AM46" s="23"/>
      <c r="AN46" s="21">
        <v>1649</v>
      </c>
      <c r="AO46" s="22"/>
      <c r="AP46" s="22"/>
      <c r="AQ46" s="22"/>
      <c r="AR46" s="23"/>
      <c r="AS46" s="30" t="s">
        <v>119</v>
      </c>
      <c r="AT46" s="22"/>
      <c r="AU46" s="22"/>
      <c r="AV46" s="22"/>
      <c r="AW46" s="23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414">
    <mergeCell ref="AI38:AM38"/>
    <mergeCell ref="AD37:AH37"/>
    <mergeCell ref="AN25:AR25"/>
    <mergeCell ref="T26:X26"/>
    <mergeCell ref="Y26:AC26"/>
    <mergeCell ref="AD26:AH26"/>
    <mergeCell ref="AI26:AM26"/>
    <mergeCell ref="AD27:AH27"/>
    <mergeCell ref="T27:X27"/>
    <mergeCell ref="Y27:AC27"/>
    <mergeCell ref="T28:X28"/>
    <mergeCell ref="Y28:AC28"/>
    <mergeCell ref="T30:X30"/>
    <mergeCell ref="Y30:AC30"/>
    <mergeCell ref="AD30:AH30"/>
    <mergeCell ref="E26:I26"/>
    <mergeCell ref="J26:N26"/>
    <mergeCell ref="O26:S26"/>
    <mergeCell ref="O37:S37"/>
    <mergeCell ref="T37:X37"/>
    <mergeCell ref="Y37:AC37"/>
    <mergeCell ref="E38:I38"/>
    <mergeCell ref="J38:N38"/>
    <mergeCell ref="O38:S38"/>
    <mergeCell ref="E30:I30"/>
    <mergeCell ref="J30:N30"/>
    <mergeCell ref="O30:S30"/>
    <mergeCell ref="AI39:AM39"/>
    <mergeCell ref="E37:I37"/>
    <mergeCell ref="J37:N37"/>
    <mergeCell ref="AS25:AW25"/>
    <mergeCell ref="AS24:AW24"/>
    <mergeCell ref="AN24:AR24"/>
    <mergeCell ref="E25:I25"/>
    <mergeCell ref="J25:N25"/>
    <mergeCell ref="AI36:AM36"/>
    <mergeCell ref="AI35:AM35"/>
    <mergeCell ref="AI34:AM34"/>
    <mergeCell ref="AI33:AM33"/>
    <mergeCell ref="O25:S25"/>
    <mergeCell ref="E31:I31"/>
    <mergeCell ref="J31:N31"/>
    <mergeCell ref="O31:S31"/>
    <mergeCell ref="AI31:AM31"/>
    <mergeCell ref="AD31:AH31"/>
    <mergeCell ref="T31:X31"/>
    <mergeCell ref="Y31:AC31"/>
    <mergeCell ref="T32:X32"/>
    <mergeCell ref="Y32:AC32"/>
    <mergeCell ref="AD32:AH32"/>
    <mergeCell ref="AI32:AM32"/>
    <mergeCell ref="E23:I23"/>
    <mergeCell ref="J23:N23"/>
    <mergeCell ref="O23:S23"/>
    <mergeCell ref="T23:X23"/>
    <mergeCell ref="Y23:AC23"/>
    <mergeCell ref="AD23:AH23"/>
    <mergeCell ref="AI23:AM23"/>
    <mergeCell ref="E39:I39"/>
    <mergeCell ref="J39:N39"/>
    <mergeCell ref="O39:S39"/>
    <mergeCell ref="E24:I24"/>
    <mergeCell ref="J24:N24"/>
    <mergeCell ref="O24:S24"/>
    <mergeCell ref="AI24:AM24"/>
    <mergeCell ref="AD24:AH24"/>
    <mergeCell ref="T24:X24"/>
    <mergeCell ref="Y24:AC24"/>
    <mergeCell ref="T25:X25"/>
    <mergeCell ref="Y25:AC25"/>
    <mergeCell ref="AD25:AH25"/>
    <mergeCell ref="AI25:AM25"/>
    <mergeCell ref="AI37:AM37"/>
    <mergeCell ref="AD38:AH38"/>
    <mergeCell ref="T38:X38"/>
    <mergeCell ref="AI30:AM30"/>
    <mergeCell ref="E32:I32"/>
    <mergeCell ref="J32:N32"/>
    <mergeCell ref="O32:S32"/>
    <mergeCell ref="AD45:AH45"/>
    <mergeCell ref="T45:X45"/>
    <mergeCell ref="Y45:AC45"/>
    <mergeCell ref="AN32:AR32"/>
    <mergeCell ref="AS32:AW32"/>
    <mergeCell ref="AS31:AW31"/>
    <mergeCell ref="AN31:AR31"/>
    <mergeCell ref="AN30:AR30"/>
    <mergeCell ref="AS30:AW30"/>
    <mergeCell ref="AN39:AR39"/>
    <mergeCell ref="AS39:AW39"/>
    <mergeCell ref="AS38:AW38"/>
    <mergeCell ref="AN38:AR38"/>
    <mergeCell ref="AN37:AR37"/>
    <mergeCell ref="AS37:AW37"/>
    <mergeCell ref="AS45:AW45"/>
    <mergeCell ref="AN45:AR45"/>
    <mergeCell ref="AN33:AR33"/>
    <mergeCell ref="AS33:AW33"/>
    <mergeCell ref="AN36:AR36"/>
    <mergeCell ref="AS46:AW46"/>
    <mergeCell ref="T46:X46"/>
    <mergeCell ref="Y46:AC46"/>
    <mergeCell ref="AN44:AR44"/>
    <mergeCell ref="AS44:AW44"/>
    <mergeCell ref="E44:I44"/>
    <mergeCell ref="J44:N44"/>
    <mergeCell ref="O44:S44"/>
    <mergeCell ref="T44:X44"/>
    <mergeCell ref="Y44:AC44"/>
    <mergeCell ref="AD44:AH44"/>
    <mergeCell ref="AI44:AM44"/>
    <mergeCell ref="AD46:AH46"/>
    <mergeCell ref="E45:I45"/>
    <mergeCell ref="J45:N45"/>
    <mergeCell ref="O45:S45"/>
    <mergeCell ref="AI45:AM45"/>
    <mergeCell ref="AI46:AM46"/>
    <mergeCell ref="AN46:AR46"/>
    <mergeCell ref="E46:I46"/>
    <mergeCell ref="J46:N46"/>
    <mergeCell ref="O46:S46"/>
    <mergeCell ref="AS36:AW36"/>
    <mergeCell ref="AN35:AR35"/>
    <mergeCell ref="AS35:AW35"/>
    <mergeCell ref="AS34:AW34"/>
    <mergeCell ref="AN34:AR34"/>
    <mergeCell ref="AN26:AR26"/>
    <mergeCell ref="AS26:AW26"/>
    <mergeCell ref="E40:I40"/>
    <mergeCell ref="J40:N40"/>
    <mergeCell ref="O40:S40"/>
    <mergeCell ref="T40:X40"/>
    <mergeCell ref="Y40:AC40"/>
    <mergeCell ref="AD40:AH40"/>
    <mergeCell ref="AI40:AM40"/>
    <mergeCell ref="AN40:AR40"/>
    <mergeCell ref="AS40:AW40"/>
    <mergeCell ref="J34:N34"/>
    <mergeCell ref="O34:S34"/>
    <mergeCell ref="AD34:AH34"/>
    <mergeCell ref="T34:X34"/>
    <mergeCell ref="Y34:AC34"/>
    <mergeCell ref="T35:X35"/>
    <mergeCell ref="Y35:AC35"/>
    <mergeCell ref="E35:I35"/>
    <mergeCell ref="AS3:AW3"/>
    <mergeCell ref="E3:I3"/>
    <mergeCell ref="J3:N3"/>
    <mergeCell ref="O3:S3"/>
    <mergeCell ref="T3:X3"/>
    <mergeCell ref="AI6:AM6"/>
    <mergeCell ref="AN6:AR6"/>
    <mergeCell ref="AI5:AM5"/>
    <mergeCell ref="AN5:AR5"/>
    <mergeCell ref="J4:N4"/>
    <mergeCell ref="O4:S4"/>
    <mergeCell ref="AD4:AH4"/>
    <mergeCell ref="T4:X4"/>
    <mergeCell ref="Y4:AC4"/>
    <mergeCell ref="E5:I5"/>
    <mergeCell ref="J5:N5"/>
    <mergeCell ref="O5:S5"/>
    <mergeCell ref="T5:X5"/>
    <mergeCell ref="Y5:AC5"/>
    <mergeCell ref="AD5:AH5"/>
    <mergeCell ref="Y3:AC3"/>
    <mergeCell ref="AI4:AM4"/>
    <mergeCell ref="AI3:AM3"/>
    <mergeCell ref="AS6:AW6"/>
    <mergeCell ref="AI1:AM1"/>
    <mergeCell ref="AN1:AR1"/>
    <mergeCell ref="E1:I1"/>
    <mergeCell ref="J1:N1"/>
    <mergeCell ref="O1:S1"/>
    <mergeCell ref="T1:X1"/>
    <mergeCell ref="Y1:AC1"/>
    <mergeCell ref="AD1:AH1"/>
    <mergeCell ref="AS1:AW1"/>
    <mergeCell ref="AI2:AM2"/>
    <mergeCell ref="AN2:AR2"/>
    <mergeCell ref="AS5:AW5"/>
    <mergeCell ref="AS2:AW2"/>
    <mergeCell ref="E4:I4"/>
    <mergeCell ref="AN4:AR4"/>
    <mergeCell ref="AS4:AW4"/>
    <mergeCell ref="AN3:AR3"/>
    <mergeCell ref="T8:X8"/>
    <mergeCell ref="Y8:AC8"/>
    <mergeCell ref="AN8:AR8"/>
    <mergeCell ref="AS8:AW8"/>
    <mergeCell ref="E8:I8"/>
    <mergeCell ref="J8:N8"/>
    <mergeCell ref="O8:S8"/>
    <mergeCell ref="AI8:AM8"/>
    <mergeCell ref="E6:I6"/>
    <mergeCell ref="J6:N6"/>
    <mergeCell ref="O6:S6"/>
    <mergeCell ref="AD8:AH8"/>
    <mergeCell ref="E7:I7"/>
    <mergeCell ref="J7:N7"/>
    <mergeCell ref="O7:S7"/>
    <mergeCell ref="T7:X7"/>
    <mergeCell ref="Y7:AC7"/>
    <mergeCell ref="T6:X6"/>
    <mergeCell ref="Y6:AC6"/>
    <mergeCell ref="AD6:AH6"/>
    <mergeCell ref="AD7:AH7"/>
    <mergeCell ref="AI7:AM7"/>
    <mergeCell ref="AN7:AR7"/>
    <mergeCell ref="AS7:AW7"/>
    <mergeCell ref="E9:I9"/>
    <mergeCell ref="J9:N9"/>
    <mergeCell ref="O9:S9"/>
    <mergeCell ref="T9:X9"/>
    <mergeCell ref="Y9:AC9"/>
    <mergeCell ref="AI10:AM10"/>
    <mergeCell ref="AD9:AH9"/>
    <mergeCell ref="AI9:AM9"/>
    <mergeCell ref="AN9:AR9"/>
    <mergeCell ref="J11:N11"/>
    <mergeCell ref="AS11:AW11"/>
    <mergeCell ref="Y10:AC10"/>
    <mergeCell ref="Y11:AC11"/>
    <mergeCell ref="AD10:AH10"/>
    <mergeCell ref="AD11:AH11"/>
    <mergeCell ref="E10:I10"/>
    <mergeCell ref="J10:N10"/>
    <mergeCell ref="O10:S10"/>
    <mergeCell ref="E16:I16"/>
    <mergeCell ref="J16:N16"/>
    <mergeCell ref="O16:S16"/>
    <mergeCell ref="T16:X16"/>
    <mergeCell ref="Y16:AC16"/>
    <mergeCell ref="AN17:AR17"/>
    <mergeCell ref="E13:I13"/>
    <mergeCell ref="J13:N13"/>
    <mergeCell ref="O13:S13"/>
    <mergeCell ref="AI13:AM13"/>
    <mergeCell ref="E15:I15"/>
    <mergeCell ref="J15:N15"/>
    <mergeCell ref="O15:S15"/>
    <mergeCell ref="T15:X15"/>
    <mergeCell ref="Y15:AC15"/>
    <mergeCell ref="AD15:AH15"/>
    <mergeCell ref="AI15:AM15"/>
    <mergeCell ref="E14:I14"/>
    <mergeCell ref="J14:N14"/>
    <mergeCell ref="O14:S14"/>
    <mergeCell ref="AN10:AR10"/>
    <mergeCell ref="E17:I17"/>
    <mergeCell ref="J17:N17"/>
    <mergeCell ref="O17:S17"/>
    <mergeCell ref="AD17:AH17"/>
    <mergeCell ref="AI17:AM17"/>
    <mergeCell ref="T17:X17"/>
    <mergeCell ref="Y17:AC17"/>
    <mergeCell ref="E18:I18"/>
    <mergeCell ref="J18:N18"/>
    <mergeCell ref="O18:S18"/>
    <mergeCell ref="T18:X18"/>
    <mergeCell ref="Y18:AC18"/>
    <mergeCell ref="AD18:AH18"/>
    <mergeCell ref="AI18:AM18"/>
    <mergeCell ref="E2:I2"/>
    <mergeCell ref="J2:N2"/>
    <mergeCell ref="O2:S2"/>
    <mergeCell ref="T2:X2"/>
    <mergeCell ref="Y2:AC2"/>
    <mergeCell ref="AD2:AH2"/>
    <mergeCell ref="AD3:AH3"/>
    <mergeCell ref="AN12:AR12"/>
    <mergeCell ref="AS12:AW12"/>
    <mergeCell ref="E12:I12"/>
    <mergeCell ref="J12:N12"/>
    <mergeCell ref="O12:S12"/>
    <mergeCell ref="T12:X12"/>
    <mergeCell ref="Y12:AC12"/>
    <mergeCell ref="AD12:AH12"/>
    <mergeCell ref="AI12:AM12"/>
    <mergeCell ref="AS9:AW9"/>
    <mergeCell ref="AS10:AW10"/>
    <mergeCell ref="O11:S11"/>
    <mergeCell ref="T10:X10"/>
    <mergeCell ref="T11:X11"/>
    <mergeCell ref="AI11:AM11"/>
    <mergeCell ref="AN11:AR11"/>
    <mergeCell ref="E11:I11"/>
    <mergeCell ref="AS21:AW21"/>
    <mergeCell ref="AS20:AW20"/>
    <mergeCell ref="AN20:AR20"/>
    <mergeCell ref="AN15:AR15"/>
    <mergeCell ref="AS15:AW15"/>
    <mergeCell ref="AD13:AH13"/>
    <mergeCell ref="T13:X13"/>
    <mergeCell ref="Y13:AC13"/>
    <mergeCell ref="T14:X14"/>
    <mergeCell ref="Y14:AC14"/>
    <mergeCell ref="AD14:AH14"/>
    <mergeCell ref="AI14:AM14"/>
    <mergeCell ref="AN14:AR14"/>
    <mergeCell ref="AS14:AW14"/>
    <mergeCell ref="AS13:AW13"/>
    <mergeCell ref="AN13:AR13"/>
    <mergeCell ref="AD16:AH16"/>
    <mergeCell ref="AI16:AM16"/>
    <mergeCell ref="AN16:AR16"/>
    <mergeCell ref="AS16:AW16"/>
    <mergeCell ref="AS17:AW17"/>
    <mergeCell ref="AS18:AW18"/>
    <mergeCell ref="AN18:AR18"/>
    <mergeCell ref="AS19:AW19"/>
    <mergeCell ref="E19:I19"/>
    <mergeCell ref="J19:N19"/>
    <mergeCell ref="O19:S19"/>
    <mergeCell ref="T19:X19"/>
    <mergeCell ref="Y19:AC19"/>
    <mergeCell ref="AD19:AH19"/>
    <mergeCell ref="AI19:AM19"/>
    <mergeCell ref="E20:I20"/>
    <mergeCell ref="J20:N20"/>
    <mergeCell ref="O20:S20"/>
    <mergeCell ref="AI20:AM20"/>
    <mergeCell ref="AD20:AH20"/>
    <mergeCell ref="T20:X20"/>
    <mergeCell ref="Y20:AC20"/>
    <mergeCell ref="E22:I22"/>
    <mergeCell ref="J22:N22"/>
    <mergeCell ref="O22:S22"/>
    <mergeCell ref="T22:X22"/>
    <mergeCell ref="Y22:AC22"/>
    <mergeCell ref="E21:I21"/>
    <mergeCell ref="J21:N21"/>
    <mergeCell ref="O21:S21"/>
    <mergeCell ref="AN19:AR19"/>
    <mergeCell ref="T21:X21"/>
    <mergeCell ref="Y21:AC21"/>
    <mergeCell ref="AD21:AH21"/>
    <mergeCell ref="AI21:AM21"/>
    <mergeCell ref="AN21:AR21"/>
    <mergeCell ref="AD28:AH28"/>
    <mergeCell ref="AI28:AM28"/>
    <mergeCell ref="AN28:AR28"/>
    <mergeCell ref="AS28:AW28"/>
    <mergeCell ref="AS27:AW27"/>
    <mergeCell ref="AN27:AR27"/>
    <mergeCell ref="AD22:AH22"/>
    <mergeCell ref="AI22:AM22"/>
    <mergeCell ref="AN22:AR22"/>
    <mergeCell ref="AS22:AW22"/>
    <mergeCell ref="AN23:AR23"/>
    <mergeCell ref="AS23:AW23"/>
    <mergeCell ref="E28:I28"/>
    <mergeCell ref="J28:N28"/>
    <mergeCell ref="O28:S28"/>
    <mergeCell ref="E27:I27"/>
    <mergeCell ref="J27:N27"/>
    <mergeCell ref="O27:S27"/>
    <mergeCell ref="AI27:AM27"/>
    <mergeCell ref="AS41:AW41"/>
    <mergeCell ref="AN41:AR41"/>
    <mergeCell ref="AD29:AH29"/>
    <mergeCell ref="AI29:AM29"/>
    <mergeCell ref="AN29:AR29"/>
    <mergeCell ref="AS29:AW29"/>
    <mergeCell ref="E29:I29"/>
    <mergeCell ref="J29:N29"/>
    <mergeCell ref="O29:S29"/>
    <mergeCell ref="T29:X29"/>
    <mergeCell ref="Y29:AC29"/>
    <mergeCell ref="E36:I36"/>
    <mergeCell ref="J36:N36"/>
    <mergeCell ref="O36:S36"/>
    <mergeCell ref="T36:X36"/>
    <mergeCell ref="Y36:AC36"/>
    <mergeCell ref="AD36:AH36"/>
    <mergeCell ref="E33:I33"/>
    <mergeCell ref="J33:N33"/>
    <mergeCell ref="O33:S33"/>
    <mergeCell ref="T33:X33"/>
    <mergeCell ref="Y33:AC33"/>
    <mergeCell ref="AD33:AH33"/>
    <mergeCell ref="E34:I34"/>
    <mergeCell ref="E41:I41"/>
    <mergeCell ref="J41:N41"/>
    <mergeCell ref="O41:S41"/>
    <mergeCell ref="J35:N35"/>
    <mergeCell ref="O35:S35"/>
    <mergeCell ref="AD35:AH35"/>
    <mergeCell ref="Y38:AC38"/>
    <mergeCell ref="T39:X39"/>
    <mergeCell ref="Y39:AC39"/>
    <mergeCell ref="AD39:AH39"/>
    <mergeCell ref="AI41:AM41"/>
    <mergeCell ref="AD43:AH43"/>
    <mergeCell ref="AI43:AM43"/>
    <mergeCell ref="AD41:AH41"/>
    <mergeCell ref="T41:X41"/>
    <mergeCell ref="Y41:AC41"/>
    <mergeCell ref="T42:X42"/>
    <mergeCell ref="Y42:AC42"/>
    <mergeCell ref="AD42:AH42"/>
    <mergeCell ref="AI42:AM42"/>
    <mergeCell ref="AN43:AR43"/>
    <mergeCell ref="AS43:AW43"/>
    <mergeCell ref="E43:I43"/>
    <mergeCell ref="J43:N43"/>
    <mergeCell ref="O43:S43"/>
    <mergeCell ref="T43:X43"/>
    <mergeCell ref="Y43:AC43"/>
    <mergeCell ref="E42:I42"/>
    <mergeCell ref="J42:N42"/>
    <mergeCell ref="O42:S42"/>
    <mergeCell ref="AN42:AR42"/>
    <mergeCell ref="AS42:AW4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D85C6"/>
    <outlinePr summaryBelow="0" summaryRight="0"/>
    <pageSetUpPr fitToPage="1"/>
  </sheetPr>
  <dimension ref="A1:GB71"/>
  <sheetViews>
    <sheetView showGridLines="0" topLeftCell="D1" workbookViewId="0">
      <selection activeCell="AN21" sqref="AN21:AR21"/>
    </sheetView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75" customWidth="1"/>
    <col min="4" max="4" width="15.75" customWidth="1"/>
    <col min="5" max="18" width="3" customWidth="1"/>
    <col min="19" max="19" width="25.75" customWidth="1"/>
    <col min="20" max="23" width="3" customWidth="1"/>
    <col min="24" max="24" width="2.75" customWidth="1"/>
    <col min="25" max="78" width="3" customWidth="1"/>
    <col min="79" max="79" width="12.25" customWidth="1"/>
    <col min="8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438</v>
      </c>
      <c r="F2" s="22"/>
      <c r="G2" s="22"/>
      <c r="H2" s="22"/>
      <c r="I2" s="23"/>
      <c r="J2" s="32">
        <f t="shared" ref="J2:J17" si="0">E2*0.00125</f>
        <v>0.54749999999999999</v>
      </c>
      <c r="K2" s="22"/>
      <c r="L2" s="22"/>
      <c r="M2" s="22"/>
      <c r="N2" s="23"/>
      <c r="O2" s="32">
        <v>1408</v>
      </c>
      <c r="P2" s="22"/>
      <c r="Q2" s="22"/>
      <c r="R2" s="22"/>
      <c r="S2" s="23"/>
      <c r="T2" s="24">
        <v>438</v>
      </c>
      <c r="U2" s="22"/>
      <c r="V2" s="22"/>
      <c r="W2" s="22"/>
      <c r="X2" s="23"/>
      <c r="Y2" s="24">
        <f t="shared" ref="Y2:Y46" si="1">T2*0.001333</f>
        <v>0.58385399999999998</v>
      </c>
      <c r="Z2" s="22"/>
      <c r="AA2" s="22"/>
      <c r="AB2" s="22"/>
      <c r="AC2" s="23"/>
      <c r="AD2" s="24">
        <v>1423</v>
      </c>
      <c r="AE2" s="22"/>
      <c r="AF2" s="22"/>
      <c r="AG2" s="22"/>
      <c r="AH2" s="23"/>
      <c r="AI2" s="26">
        <v>1445</v>
      </c>
      <c r="AJ2" s="22"/>
      <c r="AK2" s="22"/>
      <c r="AL2" s="22"/>
      <c r="AM2" s="23"/>
      <c r="AN2" s="26">
        <v>1525</v>
      </c>
      <c r="AO2" s="22"/>
      <c r="AP2" s="22"/>
      <c r="AQ2" s="22"/>
      <c r="AR2" s="23"/>
      <c r="AS2" s="26"/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443</v>
      </c>
      <c r="F3" s="22"/>
      <c r="G3" s="22"/>
      <c r="H3" s="22"/>
      <c r="I3" s="23"/>
      <c r="J3" s="32">
        <f t="shared" si="0"/>
        <v>0.55374999999999996</v>
      </c>
      <c r="K3" s="22"/>
      <c r="L3" s="22"/>
      <c r="M3" s="22"/>
      <c r="N3" s="23"/>
      <c r="O3" s="32">
        <v>1410</v>
      </c>
      <c r="P3" s="22"/>
      <c r="Q3" s="22"/>
      <c r="R3" s="22"/>
      <c r="S3" s="23"/>
      <c r="T3" s="36">
        <v>443</v>
      </c>
      <c r="U3" s="22"/>
      <c r="V3" s="22"/>
      <c r="W3" s="22"/>
      <c r="X3" s="23"/>
      <c r="Y3" s="24">
        <f t="shared" si="1"/>
        <v>0.59051900000000002</v>
      </c>
      <c r="Z3" s="22"/>
      <c r="AA3" s="22"/>
      <c r="AB3" s="22"/>
      <c r="AC3" s="23"/>
      <c r="AD3" s="24">
        <v>1425</v>
      </c>
      <c r="AE3" s="22"/>
      <c r="AF3" s="22"/>
      <c r="AG3" s="22"/>
      <c r="AH3" s="23"/>
      <c r="AI3" s="26">
        <v>1446</v>
      </c>
      <c r="AJ3" s="22"/>
      <c r="AK3" s="22"/>
      <c r="AL3" s="22"/>
      <c r="AM3" s="23"/>
      <c r="AN3" s="26">
        <v>1526</v>
      </c>
      <c r="AO3" s="22"/>
      <c r="AP3" s="22"/>
      <c r="AQ3" s="22"/>
      <c r="AR3" s="23"/>
      <c r="AS3" s="26"/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444</v>
      </c>
      <c r="F4" s="22"/>
      <c r="G4" s="22"/>
      <c r="H4" s="22"/>
      <c r="I4" s="23"/>
      <c r="J4" s="32">
        <f t="shared" si="0"/>
        <v>0.55500000000000005</v>
      </c>
      <c r="K4" s="22"/>
      <c r="L4" s="22"/>
      <c r="M4" s="22"/>
      <c r="N4" s="23"/>
      <c r="O4" s="32">
        <v>1413</v>
      </c>
      <c r="P4" s="22"/>
      <c r="Q4" s="22"/>
      <c r="R4" s="22"/>
      <c r="S4" s="23"/>
      <c r="T4" s="36">
        <v>444</v>
      </c>
      <c r="U4" s="22"/>
      <c r="V4" s="22"/>
      <c r="W4" s="22"/>
      <c r="X4" s="23"/>
      <c r="Y4" s="24">
        <f t="shared" si="1"/>
        <v>0.59185200000000004</v>
      </c>
      <c r="Z4" s="22"/>
      <c r="AA4" s="22"/>
      <c r="AB4" s="22"/>
      <c r="AC4" s="23"/>
      <c r="AD4" s="24">
        <v>1528</v>
      </c>
      <c r="AE4" s="22"/>
      <c r="AF4" s="22"/>
      <c r="AG4" s="22"/>
      <c r="AH4" s="23"/>
      <c r="AI4" s="26">
        <v>1447</v>
      </c>
      <c r="AJ4" s="22"/>
      <c r="AK4" s="22"/>
      <c r="AL4" s="22"/>
      <c r="AM4" s="23"/>
      <c r="AN4" s="26">
        <v>1527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438</v>
      </c>
      <c r="F5" s="22"/>
      <c r="G5" s="22"/>
      <c r="H5" s="22"/>
      <c r="I5" s="23"/>
      <c r="J5" s="32">
        <f t="shared" si="0"/>
        <v>0.54749999999999999</v>
      </c>
      <c r="K5" s="22"/>
      <c r="L5" s="22"/>
      <c r="M5" s="22"/>
      <c r="N5" s="23"/>
      <c r="O5" s="32">
        <v>1416</v>
      </c>
      <c r="P5" s="22"/>
      <c r="Q5" s="22"/>
      <c r="R5" s="22"/>
      <c r="S5" s="23"/>
      <c r="T5" s="36">
        <v>438</v>
      </c>
      <c r="U5" s="22"/>
      <c r="V5" s="22"/>
      <c r="W5" s="22"/>
      <c r="X5" s="23"/>
      <c r="Y5" s="24">
        <f t="shared" si="1"/>
        <v>0.58385399999999998</v>
      </c>
      <c r="Z5" s="22"/>
      <c r="AA5" s="22"/>
      <c r="AB5" s="22"/>
      <c r="AC5" s="23"/>
      <c r="AD5" s="24">
        <v>1431</v>
      </c>
      <c r="AE5" s="22"/>
      <c r="AF5" s="22"/>
      <c r="AG5" s="22"/>
      <c r="AH5" s="23"/>
      <c r="AI5" s="26">
        <v>1448</v>
      </c>
      <c r="AJ5" s="22"/>
      <c r="AK5" s="22"/>
      <c r="AL5" s="22"/>
      <c r="AM5" s="23"/>
      <c r="AN5" s="26">
        <v>1528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472</v>
      </c>
      <c r="F6" s="22"/>
      <c r="G6" s="22"/>
      <c r="H6" s="22"/>
      <c r="I6" s="23"/>
      <c r="J6" s="32">
        <f t="shared" si="0"/>
        <v>0.59</v>
      </c>
      <c r="K6" s="22"/>
      <c r="L6" s="22"/>
      <c r="M6" s="22"/>
      <c r="N6" s="23"/>
      <c r="O6" s="32">
        <v>1511</v>
      </c>
      <c r="P6" s="22"/>
      <c r="Q6" s="22"/>
      <c r="R6" s="22"/>
      <c r="S6" s="23"/>
      <c r="T6" s="24">
        <v>472</v>
      </c>
      <c r="U6" s="22"/>
      <c r="V6" s="22"/>
      <c r="W6" s="22"/>
      <c r="X6" s="23"/>
      <c r="Y6" s="24">
        <f t="shared" si="1"/>
        <v>0.62917599999999996</v>
      </c>
      <c r="Z6" s="22"/>
      <c r="AA6" s="22"/>
      <c r="AB6" s="22"/>
      <c r="AC6" s="23"/>
      <c r="AD6" s="24">
        <v>1533</v>
      </c>
      <c r="AE6" s="22"/>
      <c r="AF6" s="22"/>
      <c r="AG6" s="22"/>
      <c r="AH6" s="23"/>
      <c r="AI6" s="26">
        <v>1555</v>
      </c>
      <c r="AJ6" s="22"/>
      <c r="AK6" s="22"/>
      <c r="AL6" s="22"/>
      <c r="AM6" s="23"/>
      <c r="AN6" s="26">
        <v>1635</v>
      </c>
      <c r="AO6" s="22"/>
      <c r="AP6" s="22"/>
      <c r="AQ6" s="22"/>
      <c r="AR6" s="23"/>
      <c r="AS6" s="26"/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424</v>
      </c>
      <c r="F7" s="22"/>
      <c r="G7" s="22"/>
      <c r="H7" s="22"/>
      <c r="I7" s="23"/>
      <c r="J7" s="32">
        <f t="shared" si="0"/>
        <v>0.53</v>
      </c>
      <c r="K7" s="22"/>
      <c r="L7" s="22"/>
      <c r="M7" s="22"/>
      <c r="N7" s="23"/>
      <c r="O7" s="32">
        <v>1514</v>
      </c>
      <c r="P7" s="22"/>
      <c r="Q7" s="22"/>
      <c r="R7" s="22"/>
      <c r="S7" s="23"/>
      <c r="T7" s="24">
        <v>424</v>
      </c>
      <c r="U7" s="22"/>
      <c r="V7" s="22"/>
      <c r="W7" s="22"/>
      <c r="X7" s="23"/>
      <c r="Y7" s="24">
        <f t="shared" si="1"/>
        <v>0.56519200000000003</v>
      </c>
      <c r="Z7" s="22"/>
      <c r="AA7" s="22"/>
      <c r="AB7" s="22"/>
      <c r="AC7" s="23"/>
      <c r="AD7" s="24">
        <v>1535</v>
      </c>
      <c r="AE7" s="22"/>
      <c r="AF7" s="22"/>
      <c r="AG7" s="22"/>
      <c r="AH7" s="23"/>
      <c r="AI7" s="26">
        <v>1556</v>
      </c>
      <c r="AJ7" s="22"/>
      <c r="AK7" s="22"/>
      <c r="AL7" s="22"/>
      <c r="AM7" s="23"/>
      <c r="AN7" s="26">
        <v>1636</v>
      </c>
      <c r="AO7" s="22"/>
      <c r="AP7" s="22"/>
      <c r="AQ7" s="22"/>
      <c r="AR7" s="23"/>
      <c r="AS7" s="26"/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448</v>
      </c>
      <c r="F8" s="22"/>
      <c r="G8" s="22"/>
      <c r="H8" s="22"/>
      <c r="I8" s="23"/>
      <c r="J8" s="32">
        <f t="shared" si="0"/>
        <v>0.56000000000000005</v>
      </c>
      <c r="K8" s="22"/>
      <c r="L8" s="22"/>
      <c r="M8" s="22"/>
      <c r="N8" s="23"/>
      <c r="O8" s="32">
        <v>1517</v>
      </c>
      <c r="P8" s="22"/>
      <c r="Q8" s="22"/>
      <c r="R8" s="22"/>
      <c r="S8" s="23"/>
      <c r="T8" s="24">
        <v>448</v>
      </c>
      <c r="U8" s="22"/>
      <c r="V8" s="22"/>
      <c r="W8" s="22"/>
      <c r="X8" s="23"/>
      <c r="Y8" s="24">
        <f t="shared" si="1"/>
        <v>0.59718399999999994</v>
      </c>
      <c r="Z8" s="22"/>
      <c r="AA8" s="22"/>
      <c r="AB8" s="22"/>
      <c r="AC8" s="23"/>
      <c r="AD8" s="24">
        <v>1538</v>
      </c>
      <c r="AE8" s="22"/>
      <c r="AF8" s="22"/>
      <c r="AG8" s="22"/>
      <c r="AH8" s="23"/>
      <c r="AI8" s="26">
        <v>1557</v>
      </c>
      <c r="AJ8" s="22"/>
      <c r="AK8" s="22"/>
      <c r="AL8" s="22"/>
      <c r="AM8" s="23"/>
      <c r="AN8" s="26">
        <v>1637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291</v>
      </c>
      <c r="F9" s="22"/>
      <c r="G9" s="22"/>
      <c r="H9" s="22"/>
      <c r="I9" s="23"/>
      <c r="J9" s="32">
        <f t="shared" si="0"/>
        <v>0.36375000000000002</v>
      </c>
      <c r="K9" s="22"/>
      <c r="L9" s="22"/>
      <c r="M9" s="22"/>
      <c r="N9" s="23"/>
      <c r="O9" s="32">
        <v>1519</v>
      </c>
      <c r="P9" s="22"/>
      <c r="Q9" s="22"/>
      <c r="R9" s="22"/>
      <c r="S9" s="23"/>
      <c r="T9" s="24">
        <v>291</v>
      </c>
      <c r="U9" s="22"/>
      <c r="V9" s="22"/>
      <c r="W9" s="22"/>
      <c r="X9" s="23"/>
      <c r="Y9" s="24">
        <f t="shared" si="1"/>
        <v>0.387903</v>
      </c>
      <c r="Z9" s="22"/>
      <c r="AA9" s="22"/>
      <c r="AB9" s="22"/>
      <c r="AC9" s="23"/>
      <c r="AD9" s="24">
        <v>1542</v>
      </c>
      <c r="AE9" s="22"/>
      <c r="AF9" s="22"/>
      <c r="AG9" s="22"/>
      <c r="AH9" s="23"/>
      <c r="AI9" s="26">
        <v>1558</v>
      </c>
      <c r="AJ9" s="22"/>
      <c r="AK9" s="22"/>
      <c r="AL9" s="22"/>
      <c r="AM9" s="23"/>
      <c r="AN9" s="26">
        <v>1638</v>
      </c>
      <c r="AO9" s="22"/>
      <c r="AP9" s="22"/>
      <c r="AQ9" s="22"/>
      <c r="AR9" s="23"/>
      <c r="AS9" s="26"/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447</v>
      </c>
      <c r="F10" s="22"/>
      <c r="G10" s="22"/>
      <c r="H10" s="22"/>
      <c r="I10" s="23"/>
      <c r="J10" s="32">
        <f t="shared" si="0"/>
        <v>0.55874999999999997</v>
      </c>
      <c r="K10" s="22"/>
      <c r="L10" s="22"/>
      <c r="M10" s="22"/>
      <c r="N10" s="23"/>
      <c r="O10" s="32">
        <v>1212</v>
      </c>
      <c r="P10" s="22"/>
      <c r="Q10" s="22"/>
      <c r="R10" s="22"/>
      <c r="S10" s="23"/>
      <c r="T10" s="24">
        <v>447</v>
      </c>
      <c r="U10" s="22"/>
      <c r="V10" s="22"/>
      <c r="W10" s="22"/>
      <c r="X10" s="23"/>
      <c r="Y10" s="24">
        <f t="shared" si="1"/>
        <v>0.59585100000000002</v>
      </c>
      <c r="Z10" s="22"/>
      <c r="AA10" s="22"/>
      <c r="AB10" s="22"/>
      <c r="AC10" s="23"/>
      <c r="AD10" s="24">
        <v>1235</v>
      </c>
      <c r="AE10" s="22"/>
      <c r="AF10" s="22"/>
      <c r="AG10" s="22"/>
      <c r="AH10" s="23"/>
      <c r="AI10" s="26">
        <v>1251</v>
      </c>
      <c r="AJ10" s="22"/>
      <c r="AK10" s="22"/>
      <c r="AL10" s="22"/>
      <c r="AM10" s="23"/>
      <c r="AN10" s="26">
        <v>1341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446</v>
      </c>
      <c r="F11" s="22"/>
      <c r="G11" s="22"/>
      <c r="H11" s="22"/>
      <c r="I11" s="23"/>
      <c r="J11" s="32">
        <f t="shared" si="0"/>
        <v>0.5575</v>
      </c>
      <c r="K11" s="22"/>
      <c r="L11" s="22"/>
      <c r="M11" s="22"/>
      <c r="N11" s="23"/>
      <c r="O11" s="32">
        <v>1214</v>
      </c>
      <c r="P11" s="22"/>
      <c r="Q11" s="22"/>
      <c r="R11" s="22"/>
      <c r="S11" s="23"/>
      <c r="T11" s="24">
        <v>446</v>
      </c>
      <c r="U11" s="22"/>
      <c r="V11" s="22"/>
      <c r="W11" s="22"/>
      <c r="X11" s="23"/>
      <c r="Y11" s="24">
        <f t="shared" si="1"/>
        <v>0.59451799999999999</v>
      </c>
      <c r="Z11" s="22"/>
      <c r="AA11" s="22"/>
      <c r="AB11" s="22"/>
      <c r="AC11" s="23"/>
      <c r="AD11" s="24">
        <v>1237</v>
      </c>
      <c r="AE11" s="22"/>
      <c r="AF11" s="22"/>
      <c r="AG11" s="22"/>
      <c r="AH11" s="23"/>
      <c r="AI11" s="26">
        <v>1252</v>
      </c>
      <c r="AJ11" s="22"/>
      <c r="AK11" s="22"/>
      <c r="AL11" s="22"/>
      <c r="AM11" s="23"/>
      <c r="AN11" s="26">
        <v>1342</v>
      </c>
      <c r="AO11" s="22"/>
      <c r="AP11" s="22"/>
      <c r="AQ11" s="22"/>
      <c r="AR11" s="23"/>
      <c r="AS11" s="26" t="s">
        <v>112</v>
      </c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449</v>
      </c>
      <c r="F12" s="22"/>
      <c r="G12" s="22"/>
      <c r="H12" s="22"/>
      <c r="I12" s="23"/>
      <c r="J12" s="32">
        <f t="shared" si="0"/>
        <v>0.56125000000000003</v>
      </c>
      <c r="K12" s="22"/>
      <c r="L12" s="22"/>
      <c r="M12" s="22"/>
      <c r="N12" s="23"/>
      <c r="O12" s="32">
        <v>1300</v>
      </c>
      <c r="P12" s="22"/>
      <c r="Q12" s="22"/>
      <c r="R12" s="22"/>
      <c r="S12" s="23"/>
      <c r="T12" s="36">
        <v>449</v>
      </c>
      <c r="U12" s="22"/>
      <c r="V12" s="22"/>
      <c r="W12" s="22"/>
      <c r="X12" s="23"/>
      <c r="Y12" s="24">
        <f t="shared" si="1"/>
        <v>0.59851699999999997</v>
      </c>
      <c r="Z12" s="22"/>
      <c r="AA12" s="22"/>
      <c r="AB12" s="22"/>
      <c r="AC12" s="23"/>
      <c r="AD12" s="24">
        <v>1321</v>
      </c>
      <c r="AE12" s="22"/>
      <c r="AF12" s="22"/>
      <c r="AG12" s="22"/>
      <c r="AH12" s="23"/>
      <c r="AI12" s="26">
        <v>1345</v>
      </c>
      <c r="AJ12" s="22"/>
      <c r="AK12" s="22"/>
      <c r="AL12" s="22"/>
      <c r="AM12" s="23"/>
      <c r="AN12" s="26">
        <v>1425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511</v>
      </c>
      <c r="F13" s="22"/>
      <c r="G13" s="22"/>
      <c r="H13" s="22"/>
      <c r="I13" s="23"/>
      <c r="J13" s="32">
        <f t="shared" si="0"/>
        <v>0.63875000000000004</v>
      </c>
      <c r="K13" s="22"/>
      <c r="L13" s="22"/>
      <c r="M13" s="22"/>
      <c r="N13" s="23"/>
      <c r="O13" s="32">
        <v>1303</v>
      </c>
      <c r="P13" s="22"/>
      <c r="Q13" s="22"/>
      <c r="R13" s="22"/>
      <c r="S13" s="23"/>
      <c r="T13" s="36">
        <v>511</v>
      </c>
      <c r="U13" s="22"/>
      <c r="V13" s="22"/>
      <c r="W13" s="22"/>
      <c r="X13" s="23"/>
      <c r="Y13" s="24">
        <f t="shared" si="1"/>
        <v>0.68116299999999996</v>
      </c>
      <c r="Z13" s="22"/>
      <c r="AA13" s="22"/>
      <c r="AB13" s="22"/>
      <c r="AC13" s="23"/>
      <c r="AD13" s="24">
        <v>1323</v>
      </c>
      <c r="AE13" s="22"/>
      <c r="AF13" s="22"/>
      <c r="AG13" s="22"/>
      <c r="AH13" s="23"/>
      <c r="AI13" s="26">
        <v>1346</v>
      </c>
      <c r="AJ13" s="22"/>
      <c r="AK13" s="22"/>
      <c r="AL13" s="22"/>
      <c r="AM13" s="23"/>
      <c r="AN13" s="26">
        <v>1426</v>
      </c>
      <c r="AO13" s="22"/>
      <c r="AP13" s="22"/>
      <c r="AQ13" s="22"/>
      <c r="AR13" s="23"/>
      <c r="AS13" s="26" t="s">
        <v>113</v>
      </c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299</v>
      </c>
      <c r="F14" s="22"/>
      <c r="G14" s="22"/>
      <c r="H14" s="22"/>
      <c r="I14" s="23"/>
      <c r="J14" s="32">
        <f t="shared" si="0"/>
        <v>0.37375000000000003</v>
      </c>
      <c r="K14" s="22"/>
      <c r="L14" s="22"/>
      <c r="M14" s="22"/>
      <c r="N14" s="23"/>
      <c r="O14" s="32">
        <v>1306</v>
      </c>
      <c r="P14" s="22"/>
      <c r="Q14" s="22"/>
      <c r="R14" s="22"/>
      <c r="S14" s="23"/>
      <c r="T14" s="24">
        <v>299</v>
      </c>
      <c r="U14" s="22"/>
      <c r="V14" s="22"/>
      <c r="W14" s="22"/>
      <c r="X14" s="23"/>
      <c r="Y14" s="24">
        <f t="shared" si="1"/>
        <v>0.398567</v>
      </c>
      <c r="Z14" s="22"/>
      <c r="AA14" s="22"/>
      <c r="AB14" s="22"/>
      <c r="AC14" s="23"/>
      <c r="AD14" s="24">
        <v>1328</v>
      </c>
      <c r="AE14" s="22"/>
      <c r="AF14" s="22"/>
      <c r="AG14" s="22"/>
      <c r="AH14" s="23"/>
      <c r="AI14" s="26">
        <v>1347</v>
      </c>
      <c r="AJ14" s="22"/>
      <c r="AK14" s="22"/>
      <c r="AL14" s="22"/>
      <c r="AM14" s="23"/>
      <c r="AN14" s="26">
        <v>1427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278</v>
      </c>
      <c r="F15" s="22"/>
      <c r="G15" s="22"/>
      <c r="H15" s="22"/>
      <c r="I15" s="23"/>
      <c r="J15" s="32">
        <f t="shared" si="0"/>
        <v>0.34750000000000003</v>
      </c>
      <c r="K15" s="22"/>
      <c r="L15" s="22"/>
      <c r="M15" s="22"/>
      <c r="N15" s="23"/>
      <c r="O15" s="32">
        <v>1311</v>
      </c>
      <c r="P15" s="22"/>
      <c r="Q15" s="22"/>
      <c r="R15" s="22"/>
      <c r="S15" s="23"/>
      <c r="T15" s="24">
        <v>278</v>
      </c>
      <c r="U15" s="22"/>
      <c r="V15" s="22"/>
      <c r="W15" s="22"/>
      <c r="X15" s="23"/>
      <c r="Y15" s="24">
        <f t="shared" si="1"/>
        <v>0.37057400000000001</v>
      </c>
      <c r="Z15" s="22"/>
      <c r="AA15" s="22"/>
      <c r="AB15" s="22"/>
      <c r="AC15" s="23"/>
      <c r="AD15" s="24">
        <v>1330</v>
      </c>
      <c r="AE15" s="22"/>
      <c r="AF15" s="22"/>
      <c r="AG15" s="22"/>
      <c r="AH15" s="23"/>
      <c r="AI15" s="26">
        <v>1348</v>
      </c>
      <c r="AJ15" s="22"/>
      <c r="AK15" s="22"/>
      <c r="AL15" s="22"/>
      <c r="AM15" s="23"/>
      <c r="AN15" s="26">
        <v>1428</v>
      </c>
      <c r="AO15" s="22"/>
      <c r="AP15" s="22"/>
      <c r="AQ15" s="22"/>
      <c r="AR15" s="23"/>
      <c r="AS15" s="26"/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458</v>
      </c>
      <c r="F16" s="22"/>
      <c r="G16" s="22"/>
      <c r="H16" s="22"/>
      <c r="I16" s="23"/>
      <c r="J16" s="32">
        <f t="shared" si="0"/>
        <v>0.57250000000000001</v>
      </c>
      <c r="K16" s="22"/>
      <c r="L16" s="22"/>
      <c r="M16" s="22"/>
      <c r="N16" s="23"/>
      <c r="O16" s="32">
        <v>1317</v>
      </c>
      <c r="P16" s="22"/>
      <c r="Q16" s="22"/>
      <c r="R16" s="22"/>
      <c r="S16" s="23"/>
      <c r="T16" s="24">
        <v>458</v>
      </c>
      <c r="U16" s="22"/>
      <c r="V16" s="22"/>
      <c r="W16" s="22"/>
      <c r="X16" s="23"/>
      <c r="Y16" s="24">
        <f t="shared" si="1"/>
        <v>0.610514</v>
      </c>
      <c r="Z16" s="22"/>
      <c r="AA16" s="22"/>
      <c r="AB16" s="22"/>
      <c r="AC16" s="23"/>
      <c r="AD16" s="24">
        <v>1333</v>
      </c>
      <c r="AE16" s="22"/>
      <c r="AF16" s="22"/>
      <c r="AG16" s="22"/>
      <c r="AH16" s="23"/>
      <c r="AI16" s="26">
        <v>1349</v>
      </c>
      <c r="AJ16" s="22"/>
      <c r="AK16" s="22"/>
      <c r="AL16" s="22"/>
      <c r="AM16" s="23"/>
      <c r="AN16" s="26">
        <v>1429</v>
      </c>
      <c r="AO16" s="22"/>
      <c r="AP16" s="22"/>
      <c r="AQ16" s="22"/>
      <c r="AR16" s="23"/>
      <c r="AS16" s="26"/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229</v>
      </c>
      <c r="F17" s="22"/>
      <c r="G17" s="22"/>
      <c r="H17" s="22"/>
      <c r="I17" s="23"/>
      <c r="J17" s="32">
        <f t="shared" si="0"/>
        <v>0.28625</v>
      </c>
      <c r="K17" s="22"/>
      <c r="L17" s="22"/>
      <c r="M17" s="22"/>
      <c r="N17" s="23"/>
      <c r="O17" s="32">
        <v>1404</v>
      </c>
      <c r="P17" s="22"/>
      <c r="Q17" s="22"/>
      <c r="R17" s="22"/>
      <c r="S17" s="23"/>
      <c r="T17" s="24">
        <v>229</v>
      </c>
      <c r="U17" s="22"/>
      <c r="V17" s="22"/>
      <c r="W17" s="22"/>
      <c r="X17" s="23"/>
      <c r="Y17" s="24">
        <f t="shared" si="1"/>
        <v>0.305257</v>
      </c>
      <c r="Z17" s="22"/>
      <c r="AA17" s="22"/>
      <c r="AB17" s="22"/>
      <c r="AC17" s="23"/>
      <c r="AD17" s="24">
        <v>1420</v>
      </c>
      <c r="AE17" s="22"/>
      <c r="AF17" s="22"/>
      <c r="AG17" s="22"/>
      <c r="AH17" s="23"/>
      <c r="AI17" s="26">
        <v>1444</v>
      </c>
      <c r="AJ17" s="22"/>
      <c r="AK17" s="22"/>
      <c r="AL17" s="22"/>
      <c r="AM17" s="23"/>
      <c r="AN17" s="26">
        <v>1524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>
        <v>477</v>
      </c>
      <c r="F18" s="22"/>
      <c r="G18" s="22"/>
      <c r="H18" s="22"/>
      <c r="I18" s="23"/>
      <c r="J18" s="32">
        <f t="shared" ref="J18:J25" si="2">E18*0.0012</f>
        <v>0.57239999999999991</v>
      </c>
      <c r="K18" s="22"/>
      <c r="L18" s="22"/>
      <c r="M18" s="22"/>
      <c r="N18" s="23"/>
      <c r="O18" s="31">
        <v>1105</v>
      </c>
      <c r="P18" s="22"/>
      <c r="Q18" s="22"/>
      <c r="R18" s="22"/>
      <c r="S18" s="23"/>
      <c r="T18" s="25">
        <v>477</v>
      </c>
      <c r="U18" s="22"/>
      <c r="V18" s="22"/>
      <c r="W18" s="22"/>
      <c r="X18" s="23"/>
      <c r="Y18" s="24">
        <f t="shared" si="1"/>
        <v>0.63584099999999999</v>
      </c>
      <c r="Z18" s="22"/>
      <c r="AA18" s="22"/>
      <c r="AB18" s="22"/>
      <c r="AC18" s="23"/>
      <c r="AD18" s="25">
        <v>1131</v>
      </c>
      <c r="AE18" s="22"/>
      <c r="AF18" s="22"/>
      <c r="AG18" s="22"/>
      <c r="AH18" s="23"/>
      <c r="AI18" s="21">
        <v>1153</v>
      </c>
      <c r="AJ18" s="22"/>
      <c r="AK18" s="22"/>
      <c r="AL18" s="22"/>
      <c r="AM18" s="23"/>
      <c r="AN18" s="21">
        <v>1233</v>
      </c>
      <c r="AO18" s="22"/>
      <c r="AP18" s="22"/>
      <c r="AQ18" s="22"/>
      <c r="AR18" s="23"/>
      <c r="AS18" s="30" t="s">
        <v>114</v>
      </c>
      <c r="AT18" s="22"/>
      <c r="AU18" s="22"/>
      <c r="AV18" s="22"/>
      <c r="AW18" s="23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>
        <v>418</v>
      </c>
      <c r="F19" s="22"/>
      <c r="G19" s="22"/>
      <c r="H19" s="22"/>
      <c r="I19" s="23"/>
      <c r="J19" s="32">
        <f t="shared" si="2"/>
        <v>0.50159999999999993</v>
      </c>
      <c r="K19" s="22"/>
      <c r="L19" s="22"/>
      <c r="M19" s="22"/>
      <c r="N19" s="23"/>
      <c r="O19" s="31">
        <v>1113</v>
      </c>
      <c r="P19" s="22"/>
      <c r="Q19" s="22"/>
      <c r="R19" s="22"/>
      <c r="S19" s="23"/>
      <c r="T19" s="34">
        <v>418</v>
      </c>
      <c r="U19" s="22"/>
      <c r="V19" s="22"/>
      <c r="W19" s="22"/>
      <c r="X19" s="23"/>
      <c r="Y19" s="24">
        <f t="shared" si="1"/>
        <v>0.55719399999999997</v>
      </c>
      <c r="Z19" s="22"/>
      <c r="AA19" s="22"/>
      <c r="AB19" s="22"/>
      <c r="AC19" s="23"/>
      <c r="AD19" s="25">
        <v>1134</v>
      </c>
      <c r="AE19" s="22"/>
      <c r="AF19" s="22"/>
      <c r="AG19" s="22"/>
      <c r="AH19" s="23"/>
      <c r="AI19" s="21">
        <v>1154</v>
      </c>
      <c r="AJ19" s="22"/>
      <c r="AK19" s="22"/>
      <c r="AL19" s="22"/>
      <c r="AM19" s="23"/>
      <c r="AN19" s="21">
        <v>1234</v>
      </c>
      <c r="AO19" s="22"/>
      <c r="AP19" s="22"/>
      <c r="AQ19" s="22"/>
      <c r="AR19" s="23"/>
      <c r="AS19" s="21"/>
      <c r="AT19" s="22"/>
      <c r="AU19" s="22"/>
      <c r="AV19" s="22"/>
      <c r="AW19" s="23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>
        <v>265</v>
      </c>
      <c r="F20" s="22"/>
      <c r="G20" s="22"/>
      <c r="H20" s="22"/>
      <c r="I20" s="23"/>
      <c r="J20" s="32">
        <f t="shared" si="2"/>
        <v>0.31799999999999995</v>
      </c>
      <c r="K20" s="22"/>
      <c r="L20" s="22"/>
      <c r="M20" s="22"/>
      <c r="N20" s="23"/>
      <c r="O20" s="31">
        <v>1116</v>
      </c>
      <c r="P20" s="22"/>
      <c r="Q20" s="22"/>
      <c r="R20" s="22"/>
      <c r="S20" s="23"/>
      <c r="T20" s="34">
        <v>265</v>
      </c>
      <c r="U20" s="22"/>
      <c r="V20" s="22"/>
      <c r="W20" s="22"/>
      <c r="X20" s="23"/>
      <c r="Y20" s="24">
        <f t="shared" si="1"/>
        <v>0.35324499999999998</v>
      </c>
      <c r="Z20" s="22"/>
      <c r="AA20" s="22"/>
      <c r="AB20" s="22"/>
      <c r="AC20" s="23"/>
      <c r="AD20" s="25">
        <v>1136</v>
      </c>
      <c r="AE20" s="22"/>
      <c r="AF20" s="22"/>
      <c r="AG20" s="22"/>
      <c r="AH20" s="23"/>
      <c r="AI20" s="21">
        <v>1155</v>
      </c>
      <c r="AJ20" s="22"/>
      <c r="AK20" s="22"/>
      <c r="AL20" s="22"/>
      <c r="AM20" s="23"/>
      <c r="AN20" s="21">
        <v>1235</v>
      </c>
      <c r="AO20" s="22"/>
      <c r="AP20" s="22"/>
      <c r="AQ20" s="22"/>
      <c r="AR20" s="23"/>
      <c r="AS20" s="21"/>
      <c r="AT20" s="22"/>
      <c r="AU20" s="22"/>
      <c r="AV20" s="22"/>
      <c r="AW20" s="23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>
        <v>275</v>
      </c>
      <c r="F21" s="22"/>
      <c r="G21" s="22"/>
      <c r="H21" s="22"/>
      <c r="I21" s="23"/>
      <c r="J21" s="32">
        <f t="shared" si="2"/>
        <v>0.32999999999999996</v>
      </c>
      <c r="K21" s="22"/>
      <c r="L21" s="22"/>
      <c r="M21" s="22"/>
      <c r="N21" s="23"/>
      <c r="O21" s="31">
        <v>1119</v>
      </c>
      <c r="P21" s="22"/>
      <c r="Q21" s="22"/>
      <c r="R21" s="22"/>
      <c r="S21" s="23"/>
      <c r="T21" s="34">
        <v>275</v>
      </c>
      <c r="U21" s="22"/>
      <c r="V21" s="22"/>
      <c r="W21" s="22"/>
      <c r="X21" s="23"/>
      <c r="Y21" s="24">
        <f t="shared" si="1"/>
        <v>0.36657499999999998</v>
      </c>
      <c r="Z21" s="22"/>
      <c r="AA21" s="22"/>
      <c r="AB21" s="22"/>
      <c r="AC21" s="23"/>
      <c r="AD21" s="25">
        <v>1138</v>
      </c>
      <c r="AE21" s="22"/>
      <c r="AF21" s="22"/>
      <c r="AG21" s="22"/>
      <c r="AH21" s="23"/>
      <c r="AI21" s="21">
        <v>1156</v>
      </c>
      <c r="AJ21" s="22"/>
      <c r="AK21" s="22"/>
      <c r="AL21" s="22"/>
      <c r="AM21" s="23"/>
      <c r="AN21" s="21">
        <v>1236</v>
      </c>
      <c r="AO21" s="22"/>
      <c r="AP21" s="22"/>
      <c r="AQ21" s="22"/>
      <c r="AR21" s="23"/>
      <c r="AS21" s="21"/>
      <c r="AT21" s="22"/>
      <c r="AU21" s="22"/>
      <c r="AV21" s="22"/>
      <c r="AW21" s="23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>
        <v>297</v>
      </c>
      <c r="F22" s="22"/>
      <c r="G22" s="22"/>
      <c r="H22" s="22"/>
      <c r="I22" s="23"/>
      <c r="J22" s="32">
        <f t="shared" si="2"/>
        <v>0.35639999999999999</v>
      </c>
      <c r="K22" s="22"/>
      <c r="L22" s="22"/>
      <c r="M22" s="22"/>
      <c r="N22" s="23"/>
      <c r="O22" s="31">
        <v>1123</v>
      </c>
      <c r="P22" s="22"/>
      <c r="Q22" s="22"/>
      <c r="R22" s="22"/>
      <c r="S22" s="23"/>
      <c r="T22" s="25">
        <v>297</v>
      </c>
      <c r="U22" s="22"/>
      <c r="V22" s="22"/>
      <c r="W22" s="22"/>
      <c r="X22" s="23"/>
      <c r="Y22" s="24">
        <f t="shared" si="1"/>
        <v>0.395901</v>
      </c>
      <c r="Z22" s="22"/>
      <c r="AA22" s="22"/>
      <c r="AB22" s="22"/>
      <c r="AC22" s="23"/>
      <c r="AD22" s="25">
        <v>1141</v>
      </c>
      <c r="AE22" s="22"/>
      <c r="AF22" s="22"/>
      <c r="AG22" s="22"/>
      <c r="AH22" s="23"/>
      <c r="AI22" s="21">
        <v>1157</v>
      </c>
      <c r="AJ22" s="22"/>
      <c r="AK22" s="22"/>
      <c r="AL22" s="22"/>
      <c r="AM22" s="23"/>
      <c r="AN22" s="21">
        <v>1237</v>
      </c>
      <c r="AO22" s="22"/>
      <c r="AP22" s="22"/>
      <c r="AQ22" s="22"/>
      <c r="AR22" s="23"/>
      <c r="AS22" s="21"/>
      <c r="AT22" s="22"/>
      <c r="AU22" s="22"/>
      <c r="AV22" s="22"/>
      <c r="AW22" s="23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>
        <v>274</v>
      </c>
      <c r="F23" s="22"/>
      <c r="G23" s="22"/>
      <c r="H23" s="22"/>
      <c r="I23" s="23"/>
      <c r="J23" s="32">
        <f t="shared" si="2"/>
        <v>0.32879999999999998</v>
      </c>
      <c r="K23" s="22"/>
      <c r="L23" s="22"/>
      <c r="M23" s="22"/>
      <c r="N23" s="23"/>
      <c r="O23" s="31">
        <v>1202</v>
      </c>
      <c r="P23" s="22"/>
      <c r="Q23" s="22"/>
      <c r="R23" s="22"/>
      <c r="S23" s="23"/>
      <c r="T23" s="25">
        <v>274</v>
      </c>
      <c r="U23" s="22"/>
      <c r="V23" s="22"/>
      <c r="W23" s="22"/>
      <c r="X23" s="23"/>
      <c r="Y23" s="24">
        <f t="shared" si="1"/>
        <v>0.36524200000000001</v>
      </c>
      <c r="Z23" s="22"/>
      <c r="AA23" s="22"/>
      <c r="AB23" s="22"/>
      <c r="AC23" s="23"/>
      <c r="AD23" s="25">
        <v>1226</v>
      </c>
      <c r="AE23" s="22"/>
      <c r="AF23" s="22"/>
      <c r="AG23" s="22"/>
      <c r="AH23" s="23"/>
      <c r="AI23" s="21">
        <v>1248</v>
      </c>
      <c r="AJ23" s="22"/>
      <c r="AK23" s="22"/>
      <c r="AL23" s="22"/>
      <c r="AM23" s="23"/>
      <c r="AN23" s="21">
        <v>1338</v>
      </c>
      <c r="AO23" s="22"/>
      <c r="AP23" s="22"/>
      <c r="AQ23" s="22"/>
      <c r="AR23" s="23"/>
      <c r="AS23" s="30" t="s">
        <v>115</v>
      </c>
      <c r="AT23" s="22"/>
      <c r="AU23" s="22"/>
      <c r="AV23" s="22"/>
      <c r="AW23" s="23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>
        <v>415</v>
      </c>
      <c r="F24" s="22"/>
      <c r="G24" s="22"/>
      <c r="H24" s="22"/>
      <c r="I24" s="23"/>
      <c r="J24" s="32">
        <f t="shared" si="2"/>
        <v>0.49799999999999994</v>
      </c>
      <c r="K24" s="22"/>
      <c r="L24" s="22"/>
      <c r="M24" s="22"/>
      <c r="N24" s="23"/>
      <c r="O24" s="31">
        <v>1204</v>
      </c>
      <c r="P24" s="22"/>
      <c r="Q24" s="22"/>
      <c r="R24" s="22"/>
      <c r="S24" s="23"/>
      <c r="T24" s="25">
        <v>415</v>
      </c>
      <c r="U24" s="22"/>
      <c r="V24" s="22"/>
      <c r="W24" s="22"/>
      <c r="X24" s="23"/>
      <c r="Y24" s="24">
        <f t="shared" si="1"/>
        <v>0.55319499999999999</v>
      </c>
      <c r="Z24" s="22"/>
      <c r="AA24" s="22"/>
      <c r="AB24" s="22"/>
      <c r="AC24" s="23"/>
      <c r="AD24" s="25">
        <v>1229</v>
      </c>
      <c r="AE24" s="22"/>
      <c r="AF24" s="22"/>
      <c r="AG24" s="22"/>
      <c r="AH24" s="23"/>
      <c r="AI24" s="21">
        <v>1249</v>
      </c>
      <c r="AJ24" s="22"/>
      <c r="AK24" s="22"/>
      <c r="AL24" s="22"/>
      <c r="AM24" s="23"/>
      <c r="AN24" s="21">
        <v>1339</v>
      </c>
      <c r="AO24" s="22"/>
      <c r="AP24" s="22"/>
      <c r="AQ24" s="22"/>
      <c r="AR24" s="23"/>
      <c r="AS24" s="21"/>
      <c r="AT24" s="22"/>
      <c r="AU24" s="22"/>
      <c r="AV24" s="22"/>
      <c r="AW24" s="23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>
        <v>273</v>
      </c>
      <c r="F25" s="22"/>
      <c r="G25" s="22"/>
      <c r="H25" s="22"/>
      <c r="I25" s="23"/>
      <c r="J25" s="32">
        <f t="shared" si="2"/>
        <v>0.32759999999999995</v>
      </c>
      <c r="K25" s="22"/>
      <c r="L25" s="22"/>
      <c r="M25" s="22"/>
      <c r="N25" s="23"/>
      <c r="O25" s="31">
        <v>1207</v>
      </c>
      <c r="P25" s="22"/>
      <c r="Q25" s="22"/>
      <c r="R25" s="22"/>
      <c r="S25" s="23"/>
      <c r="T25" s="25">
        <v>273</v>
      </c>
      <c r="U25" s="22"/>
      <c r="V25" s="22"/>
      <c r="W25" s="22"/>
      <c r="X25" s="23"/>
      <c r="Y25" s="24">
        <f t="shared" si="1"/>
        <v>0.36390899999999998</v>
      </c>
      <c r="Z25" s="22"/>
      <c r="AA25" s="22"/>
      <c r="AB25" s="22"/>
      <c r="AC25" s="23"/>
      <c r="AD25" s="25">
        <v>1232</v>
      </c>
      <c r="AE25" s="22"/>
      <c r="AF25" s="22"/>
      <c r="AG25" s="22"/>
      <c r="AH25" s="23"/>
      <c r="AI25" s="21">
        <v>1250</v>
      </c>
      <c r="AJ25" s="22"/>
      <c r="AK25" s="22"/>
      <c r="AL25" s="22"/>
      <c r="AM25" s="23"/>
      <c r="AN25" s="21">
        <v>1340</v>
      </c>
      <c r="AO25" s="22"/>
      <c r="AP25" s="22"/>
      <c r="AQ25" s="22"/>
      <c r="AR25" s="23"/>
      <c r="AS25" s="21"/>
      <c r="AT25" s="22"/>
      <c r="AU25" s="22"/>
      <c r="AV25" s="22"/>
      <c r="AW25" s="23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280</v>
      </c>
      <c r="F26" s="22"/>
      <c r="G26" s="22"/>
      <c r="H26" s="22"/>
      <c r="I26" s="23"/>
      <c r="J26" s="32">
        <f t="shared" ref="J26:J39" si="3">E26*0.00125</f>
        <v>0.35000000000000003</v>
      </c>
      <c r="K26" s="22"/>
      <c r="L26" s="22"/>
      <c r="M26" s="22"/>
      <c r="N26" s="23"/>
      <c r="O26" s="31">
        <v>1621</v>
      </c>
      <c r="P26" s="22"/>
      <c r="Q26" s="22"/>
      <c r="R26" s="22"/>
      <c r="S26" s="23"/>
      <c r="T26" s="25">
        <v>280</v>
      </c>
      <c r="U26" s="22"/>
      <c r="V26" s="22"/>
      <c r="W26" s="22"/>
      <c r="X26" s="23"/>
      <c r="Y26" s="24">
        <f t="shared" si="1"/>
        <v>0.37324000000000002</v>
      </c>
      <c r="Z26" s="22"/>
      <c r="AA26" s="22"/>
      <c r="AB26" s="22"/>
      <c r="AC26" s="23"/>
      <c r="AD26" s="25">
        <v>1843</v>
      </c>
      <c r="AE26" s="22"/>
      <c r="AF26" s="22"/>
      <c r="AG26" s="22"/>
      <c r="AH26" s="23"/>
      <c r="AI26" s="21">
        <v>1858</v>
      </c>
      <c r="AJ26" s="22"/>
      <c r="AK26" s="22"/>
      <c r="AL26" s="22"/>
      <c r="AM26" s="23"/>
      <c r="AN26" s="21">
        <v>1938</v>
      </c>
      <c r="AO26" s="22"/>
      <c r="AP26" s="22"/>
      <c r="AQ26" s="22"/>
      <c r="AR26" s="23"/>
      <c r="AS26" s="21"/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273</v>
      </c>
      <c r="F27" s="22"/>
      <c r="G27" s="22"/>
      <c r="H27" s="22"/>
      <c r="I27" s="23"/>
      <c r="J27" s="32">
        <f t="shared" si="3"/>
        <v>0.34125</v>
      </c>
      <c r="K27" s="22"/>
      <c r="L27" s="22"/>
      <c r="M27" s="22"/>
      <c r="N27" s="23"/>
      <c r="O27" s="31">
        <v>1823</v>
      </c>
      <c r="P27" s="22"/>
      <c r="Q27" s="22"/>
      <c r="R27" s="22"/>
      <c r="S27" s="23"/>
      <c r="T27" s="34">
        <v>273</v>
      </c>
      <c r="U27" s="22"/>
      <c r="V27" s="22"/>
      <c r="W27" s="22"/>
      <c r="X27" s="23"/>
      <c r="Y27" s="24">
        <f t="shared" si="1"/>
        <v>0.36390899999999998</v>
      </c>
      <c r="Z27" s="22"/>
      <c r="AA27" s="22"/>
      <c r="AB27" s="22"/>
      <c r="AC27" s="23"/>
      <c r="AD27" s="25">
        <v>1846</v>
      </c>
      <c r="AE27" s="22"/>
      <c r="AF27" s="22"/>
      <c r="AG27" s="22"/>
      <c r="AH27" s="23"/>
      <c r="AI27" s="21">
        <v>1859</v>
      </c>
      <c r="AJ27" s="22"/>
      <c r="AK27" s="22"/>
      <c r="AL27" s="22"/>
      <c r="AM27" s="23"/>
      <c r="AN27" s="21">
        <v>1939</v>
      </c>
      <c r="AO27" s="22"/>
      <c r="AP27" s="22"/>
      <c r="AQ27" s="22"/>
      <c r="AR27" s="23"/>
      <c r="AS27" s="21"/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275</v>
      </c>
      <c r="F28" s="22"/>
      <c r="G28" s="22"/>
      <c r="H28" s="22"/>
      <c r="I28" s="23"/>
      <c r="J28" s="32">
        <f t="shared" si="3"/>
        <v>0.34375</v>
      </c>
      <c r="K28" s="22"/>
      <c r="L28" s="22"/>
      <c r="M28" s="22"/>
      <c r="N28" s="23"/>
      <c r="O28" s="31">
        <v>1907</v>
      </c>
      <c r="P28" s="22"/>
      <c r="Q28" s="22"/>
      <c r="R28" s="22"/>
      <c r="S28" s="23"/>
      <c r="T28" s="34">
        <v>275</v>
      </c>
      <c r="U28" s="22"/>
      <c r="V28" s="22"/>
      <c r="W28" s="22"/>
      <c r="X28" s="23"/>
      <c r="Y28" s="24">
        <f t="shared" si="1"/>
        <v>0.36657499999999998</v>
      </c>
      <c r="Z28" s="22"/>
      <c r="AA28" s="22"/>
      <c r="AB28" s="22"/>
      <c r="AC28" s="23"/>
      <c r="AD28" s="25">
        <v>1925</v>
      </c>
      <c r="AE28" s="22"/>
      <c r="AF28" s="22"/>
      <c r="AG28" s="22"/>
      <c r="AH28" s="23"/>
      <c r="AI28" s="21">
        <v>1944</v>
      </c>
      <c r="AJ28" s="22"/>
      <c r="AK28" s="22"/>
      <c r="AL28" s="22"/>
      <c r="AM28" s="23"/>
      <c r="AN28" s="21">
        <v>2024</v>
      </c>
      <c r="AO28" s="22"/>
      <c r="AP28" s="22"/>
      <c r="AQ28" s="22"/>
      <c r="AR28" s="23"/>
      <c r="AS28" s="21"/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262</v>
      </c>
      <c r="F29" s="22"/>
      <c r="G29" s="22"/>
      <c r="H29" s="22"/>
      <c r="I29" s="23"/>
      <c r="J29" s="32">
        <f t="shared" si="3"/>
        <v>0.32750000000000001</v>
      </c>
      <c r="K29" s="22"/>
      <c r="L29" s="22"/>
      <c r="M29" s="22"/>
      <c r="N29" s="23"/>
      <c r="O29" s="31">
        <v>1910</v>
      </c>
      <c r="P29" s="22"/>
      <c r="Q29" s="22"/>
      <c r="R29" s="22"/>
      <c r="S29" s="23"/>
      <c r="T29" s="34">
        <v>262</v>
      </c>
      <c r="U29" s="22"/>
      <c r="V29" s="22"/>
      <c r="W29" s="22"/>
      <c r="X29" s="23"/>
      <c r="Y29" s="24">
        <f t="shared" si="1"/>
        <v>0.349246</v>
      </c>
      <c r="Z29" s="22"/>
      <c r="AA29" s="22"/>
      <c r="AB29" s="22"/>
      <c r="AC29" s="23"/>
      <c r="AD29" s="25">
        <v>1927</v>
      </c>
      <c r="AE29" s="22"/>
      <c r="AF29" s="22"/>
      <c r="AG29" s="22"/>
      <c r="AH29" s="23"/>
      <c r="AI29" s="21">
        <v>1945</v>
      </c>
      <c r="AJ29" s="22"/>
      <c r="AK29" s="22"/>
      <c r="AL29" s="22"/>
      <c r="AM29" s="23"/>
      <c r="AN29" s="21">
        <v>2025</v>
      </c>
      <c r="AO29" s="22"/>
      <c r="AP29" s="22"/>
      <c r="AQ29" s="22"/>
      <c r="AR29" s="23"/>
      <c r="AS29" s="21"/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293</v>
      </c>
      <c r="F30" s="22"/>
      <c r="G30" s="22"/>
      <c r="H30" s="22"/>
      <c r="I30" s="23"/>
      <c r="J30" s="32">
        <f t="shared" si="3"/>
        <v>0.36625000000000002</v>
      </c>
      <c r="K30" s="22"/>
      <c r="L30" s="22"/>
      <c r="M30" s="22"/>
      <c r="N30" s="23"/>
      <c r="O30" s="31">
        <v>1912</v>
      </c>
      <c r="P30" s="22"/>
      <c r="Q30" s="22"/>
      <c r="R30" s="22"/>
      <c r="S30" s="23"/>
      <c r="T30" s="25">
        <v>293</v>
      </c>
      <c r="U30" s="22"/>
      <c r="V30" s="22"/>
      <c r="W30" s="22"/>
      <c r="X30" s="23"/>
      <c r="Y30" s="24">
        <f t="shared" si="1"/>
        <v>0.390569</v>
      </c>
      <c r="Z30" s="22"/>
      <c r="AA30" s="22"/>
      <c r="AB30" s="22"/>
      <c r="AC30" s="23"/>
      <c r="AD30" s="25">
        <v>1928</v>
      </c>
      <c r="AE30" s="22"/>
      <c r="AF30" s="22"/>
      <c r="AG30" s="22"/>
      <c r="AH30" s="23"/>
      <c r="AI30" s="21">
        <v>1946</v>
      </c>
      <c r="AJ30" s="22"/>
      <c r="AK30" s="22"/>
      <c r="AL30" s="22"/>
      <c r="AM30" s="23"/>
      <c r="AN30" s="21">
        <v>2026</v>
      </c>
      <c r="AO30" s="22"/>
      <c r="AP30" s="22"/>
      <c r="AQ30" s="22"/>
      <c r="AR30" s="23"/>
      <c r="AS30" s="21"/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288</v>
      </c>
      <c r="F31" s="22"/>
      <c r="G31" s="22"/>
      <c r="H31" s="22"/>
      <c r="I31" s="23"/>
      <c r="J31" s="32">
        <f t="shared" si="3"/>
        <v>0.36</v>
      </c>
      <c r="K31" s="22"/>
      <c r="L31" s="22"/>
      <c r="M31" s="22"/>
      <c r="N31" s="23"/>
      <c r="O31" s="31">
        <v>1914</v>
      </c>
      <c r="P31" s="22"/>
      <c r="Q31" s="22"/>
      <c r="R31" s="22"/>
      <c r="S31" s="23"/>
      <c r="T31" s="25">
        <v>288</v>
      </c>
      <c r="U31" s="22"/>
      <c r="V31" s="22"/>
      <c r="W31" s="22"/>
      <c r="X31" s="23"/>
      <c r="Y31" s="24">
        <f t="shared" si="1"/>
        <v>0.38390400000000002</v>
      </c>
      <c r="Z31" s="22"/>
      <c r="AA31" s="22"/>
      <c r="AB31" s="22"/>
      <c r="AC31" s="23"/>
      <c r="AD31" s="25">
        <v>1930</v>
      </c>
      <c r="AE31" s="22"/>
      <c r="AF31" s="22"/>
      <c r="AG31" s="22"/>
      <c r="AH31" s="23"/>
      <c r="AI31" s="21">
        <v>1947</v>
      </c>
      <c r="AJ31" s="22"/>
      <c r="AK31" s="22"/>
      <c r="AL31" s="22"/>
      <c r="AM31" s="23"/>
      <c r="AN31" s="21">
        <v>2027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290</v>
      </c>
      <c r="F32" s="22"/>
      <c r="G32" s="22"/>
      <c r="H32" s="22"/>
      <c r="I32" s="23"/>
      <c r="J32" s="32">
        <f t="shared" si="3"/>
        <v>0.36249999999999999</v>
      </c>
      <c r="K32" s="22"/>
      <c r="L32" s="22"/>
      <c r="M32" s="22"/>
      <c r="N32" s="23"/>
      <c r="O32" s="31">
        <v>1916</v>
      </c>
      <c r="P32" s="22"/>
      <c r="Q32" s="22"/>
      <c r="R32" s="22"/>
      <c r="S32" s="23"/>
      <c r="T32" s="25">
        <v>290</v>
      </c>
      <c r="U32" s="22"/>
      <c r="V32" s="22"/>
      <c r="W32" s="22"/>
      <c r="X32" s="23"/>
      <c r="Y32" s="24">
        <f t="shared" si="1"/>
        <v>0.38656999999999997</v>
      </c>
      <c r="Z32" s="22"/>
      <c r="AA32" s="22"/>
      <c r="AB32" s="22"/>
      <c r="AC32" s="23"/>
      <c r="AD32" s="25">
        <v>1932</v>
      </c>
      <c r="AE32" s="22"/>
      <c r="AF32" s="22"/>
      <c r="AG32" s="22"/>
      <c r="AH32" s="23"/>
      <c r="AI32" s="21">
        <v>1948</v>
      </c>
      <c r="AJ32" s="22"/>
      <c r="AK32" s="22"/>
      <c r="AL32" s="22"/>
      <c r="AM32" s="23"/>
      <c r="AN32" s="21">
        <v>2028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417</v>
      </c>
      <c r="F33" s="22"/>
      <c r="G33" s="22"/>
      <c r="H33" s="22"/>
      <c r="I33" s="23"/>
      <c r="J33" s="32">
        <f t="shared" si="3"/>
        <v>0.52124999999999999</v>
      </c>
      <c r="K33" s="22"/>
      <c r="L33" s="22"/>
      <c r="M33" s="22"/>
      <c r="N33" s="23"/>
      <c r="O33" s="31">
        <v>1717</v>
      </c>
      <c r="P33" s="22"/>
      <c r="Q33" s="22"/>
      <c r="R33" s="22"/>
      <c r="S33" s="23"/>
      <c r="T33" s="25">
        <v>417</v>
      </c>
      <c r="U33" s="22"/>
      <c r="V33" s="22"/>
      <c r="W33" s="22"/>
      <c r="X33" s="23"/>
      <c r="Y33" s="24">
        <f t="shared" si="1"/>
        <v>0.55586099999999994</v>
      </c>
      <c r="Z33" s="22"/>
      <c r="AA33" s="22"/>
      <c r="AB33" s="22"/>
      <c r="AC33" s="23"/>
      <c r="AD33" s="25">
        <v>1735</v>
      </c>
      <c r="AE33" s="22"/>
      <c r="AF33" s="22"/>
      <c r="AG33" s="22"/>
      <c r="AH33" s="23"/>
      <c r="AI33" s="21">
        <v>1800</v>
      </c>
      <c r="AJ33" s="22"/>
      <c r="AK33" s="22"/>
      <c r="AL33" s="22"/>
      <c r="AM33" s="23"/>
      <c r="AN33" s="21">
        <v>1840</v>
      </c>
      <c r="AO33" s="22"/>
      <c r="AP33" s="22"/>
      <c r="AQ33" s="22"/>
      <c r="AR33" s="23"/>
      <c r="AS33" s="21"/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275</v>
      </c>
      <c r="F34" s="22"/>
      <c r="G34" s="22"/>
      <c r="H34" s="22"/>
      <c r="I34" s="23"/>
      <c r="J34" s="32">
        <f t="shared" si="3"/>
        <v>0.34375</v>
      </c>
      <c r="K34" s="22"/>
      <c r="L34" s="22"/>
      <c r="M34" s="22"/>
      <c r="N34" s="23"/>
      <c r="O34" s="31">
        <v>1720</v>
      </c>
      <c r="P34" s="22"/>
      <c r="Q34" s="22"/>
      <c r="R34" s="22"/>
      <c r="S34" s="23"/>
      <c r="T34" s="34">
        <v>275</v>
      </c>
      <c r="U34" s="22"/>
      <c r="V34" s="22"/>
      <c r="W34" s="22"/>
      <c r="X34" s="23"/>
      <c r="Y34" s="24">
        <f t="shared" si="1"/>
        <v>0.36657499999999998</v>
      </c>
      <c r="Z34" s="22"/>
      <c r="AA34" s="22"/>
      <c r="AB34" s="22"/>
      <c r="AC34" s="23"/>
      <c r="AD34" s="25">
        <v>1736</v>
      </c>
      <c r="AE34" s="22"/>
      <c r="AF34" s="22"/>
      <c r="AG34" s="22"/>
      <c r="AH34" s="23"/>
      <c r="AI34" s="21">
        <v>1801</v>
      </c>
      <c r="AJ34" s="22"/>
      <c r="AK34" s="22"/>
      <c r="AL34" s="22"/>
      <c r="AM34" s="23"/>
      <c r="AN34" s="21">
        <v>1841</v>
      </c>
      <c r="AO34" s="22"/>
      <c r="AP34" s="22"/>
      <c r="AQ34" s="22"/>
      <c r="AR34" s="23"/>
      <c r="AS34" s="21"/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283</v>
      </c>
      <c r="F35" s="22"/>
      <c r="G35" s="22"/>
      <c r="H35" s="22"/>
      <c r="I35" s="23"/>
      <c r="J35" s="32">
        <f t="shared" si="3"/>
        <v>0.35375000000000001</v>
      </c>
      <c r="K35" s="22"/>
      <c r="L35" s="22"/>
      <c r="M35" s="22"/>
      <c r="N35" s="23"/>
      <c r="O35" s="31">
        <v>1724</v>
      </c>
      <c r="P35" s="22"/>
      <c r="Q35" s="22"/>
      <c r="R35" s="22"/>
      <c r="S35" s="23"/>
      <c r="T35" s="34">
        <v>283</v>
      </c>
      <c r="U35" s="22"/>
      <c r="V35" s="22"/>
      <c r="W35" s="22"/>
      <c r="X35" s="23"/>
      <c r="Y35" s="24">
        <f t="shared" si="1"/>
        <v>0.37723899999999999</v>
      </c>
      <c r="Z35" s="22"/>
      <c r="AA35" s="22"/>
      <c r="AB35" s="22"/>
      <c r="AC35" s="23"/>
      <c r="AD35" s="25">
        <v>1738</v>
      </c>
      <c r="AE35" s="22"/>
      <c r="AF35" s="22"/>
      <c r="AG35" s="22"/>
      <c r="AH35" s="23"/>
      <c r="AI35" s="21">
        <v>1802</v>
      </c>
      <c r="AJ35" s="22"/>
      <c r="AK35" s="22"/>
      <c r="AL35" s="22"/>
      <c r="AM35" s="23"/>
      <c r="AN35" s="21">
        <v>1842</v>
      </c>
      <c r="AO35" s="22"/>
      <c r="AP35" s="22"/>
      <c r="AQ35" s="22"/>
      <c r="AR35" s="23"/>
      <c r="AS35" s="21"/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241</v>
      </c>
      <c r="F36" s="22"/>
      <c r="G36" s="22"/>
      <c r="H36" s="22"/>
      <c r="I36" s="23"/>
      <c r="J36" s="32">
        <f t="shared" si="3"/>
        <v>0.30125000000000002</v>
      </c>
      <c r="K36" s="22"/>
      <c r="L36" s="22"/>
      <c r="M36" s="22"/>
      <c r="N36" s="23"/>
      <c r="O36" s="31">
        <v>1726</v>
      </c>
      <c r="P36" s="22"/>
      <c r="Q36" s="22"/>
      <c r="R36" s="22"/>
      <c r="S36" s="23"/>
      <c r="T36" s="34">
        <v>241</v>
      </c>
      <c r="U36" s="22"/>
      <c r="V36" s="22"/>
      <c r="W36" s="22"/>
      <c r="X36" s="23"/>
      <c r="Y36" s="24">
        <f t="shared" si="1"/>
        <v>0.32125300000000001</v>
      </c>
      <c r="Z36" s="22"/>
      <c r="AA36" s="22"/>
      <c r="AB36" s="22"/>
      <c r="AC36" s="23"/>
      <c r="AD36" s="25">
        <v>1740</v>
      </c>
      <c r="AE36" s="22"/>
      <c r="AF36" s="22"/>
      <c r="AG36" s="22"/>
      <c r="AH36" s="23"/>
      <c r="AI36" s="21">
        <v>1803</v>
      </c>
      <c r="AJ36" s="22"/>
      <c r="AK36" s="22"/>
      <c r="AL36" s="22"/>
      <c r="AM36" s="23"/>
      <c r="AN36" s="21">
        <v>1843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443</v>
      </c>
      <c r="F37" s="22"/>
      <c r="G37" s="22"/>
      <c r="H37" s="22"/>
      <c r="I37" s="23"/>
      <c r="J37" s="32">
        <f t="shared" si="3"/>
        <v>0.55374999999999996</v>
      </c>
      <c r="K37" s="22"/>
      <c r="L37" s="22"/>
      <c r="M37" s="22"/>
      <c r="N37" s="23"/>
      <c r="O37" s="31">
        <v>1813</v>
      </c>
      <c r="P37" s="22"/>
      <c r="Q37" s="22"/>
      <c r="R37" s="22"/>
      <c r="S37" s="23"/>
      <c r="T37" s="34">
        <v>443</v>
      </c>
      <c r="U37" s="22"/>
      <c r="V37" s="22"/>
      <c r="W37" s="22"/>
      <c r="X37" s="23"/>
      <c r="Y37" s="24">
        <f t="shared" si="1"/>
        <v>0.59051900000000002</v>
      </c>
      <c r="Z37" s="22"/>
      <c r="AA37" s="22"/>
      <c r="AB37" s="22"/>
      <c r="AC37" s="23"/>
      <c r="AD37" s="25">
        <v>1637</v>
      </c>
      <c r="AE37" s="22"/>
      <c r="AF37" s="22"/>
      <c r="AG37" s="22"/>
      <c r="AH37" s="23"/>
      <c r="AI37" s="21">
        <v>1855</v>
      </c>
      <c r="AJ37" s="22"/>
      <c r="AK37" s="22"/>
      <c r="AL37" s="22"/>
      <c r="AM37" s="23"/>
      <c r="AN37" s="21">
        <v>1935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459</v>
      </c>
      <c r="F38" s="22"/>
      <c r="G38" s="22"/>
      <c r="H38" s="22"/>
      <c r="I38" s="23"/>
      <c r="J38" s="32">
        <f t="shared" si="3"/>
        <v>0.57374999999999998</v>
      </c>
      <c r="K38" s="22"/>
      <c r="L38" s="22"/>
      <c r="M38" s="22"/>
      <c r="N38" s="23"/>
      <c r="O38" s="31">
        <v>1816</v>
      </c>
      <c r="P38" s="22"/>
      <c r="Q38" s="22"/>
      <c r="R38" s="22"/>
      <c r="S38" s="23"/>
      <c r="T38" s="34">
        <v>459</v>
      </c>
      <c r="U38" s="22"/>
      <c r="V38" s="22"/>
      <c r="W38" s="22"/>
      <c r="X38" s="23"/>
      <c r="Y38" s="24">
        <f t="shared" si="1"/>
        <v>0.61184700000000003</v>
      </c>
      <c r="Z38" s="22"/>
      <c r="AA38" s="22"/>
      <c r="AB38" s="22"/>
      <c r="AC38" s="23"/>
      <c r="AD38" s="25">
        <v>1839</v>
      </c>
      <c r="AE38" s="22"/>
      <c r="AF38" s="22"/>
      <c r="AG38" s="22"/>
      <c r="AH38" s="23"/>
      <c r="AI38" s="21">
        <v>1856</v>
      </c>
      <c r="AJ38" s="22"/>
      <c r="AK38" s="22"/>
      <c r="AL38" s="22"/>
      <c r="AM38" s="23"/>
      <c r="AN38" s="21">
        <v>1936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282</v>
      </c>
      <c r="F39" s="22"/>
      <c r="G39" s="22"/>
      <c r="H39" s="22"/>
      <c r="I39" s="23"/>
      <c r="J39" s="32">
        <f t="shared" si="3"/>
        <v>0.35249999999999998</v>
      </c>
      <c r="K39" s="22"/>
      <c r="L39" s="22"/>
      <c r="M39" s="22"/>
      <c r="N39" s="23"/>
      <c r="O39" s="31">
        <v>1819</v>
      </c>
      <c r="P39" s="22"/>
      <c r="Q39" s="22"/>
      <c r="R39" s="22"/>
      <c r="S39" s="23"/>
      <c r="T39" s="25">
        <v>282</v>
      </c>
      <c r="U39" s="22"/>
      <c r="V39" s="22"/>
      <c r="W39" s="22"/>
      <c r="X39" s="23"/>
      <c r="Y39" s="24">
        <f t="shared" si="1"/>
        <v>0.37590600000000002</v>
      </c>
      <c r="Z39" s="22"/>
      <c r="AA39" s="22"/>
      <c r="AB39" s="22"/>
      <c r="AC39" s="23"/>
      <c r="AD39" s="25">
        <v>1841</v>
      </c>
      <c r="AE39" s="22"/>
      <c r="AF39" s="22"/>
      <c r="AG39" s="22"/>
      <c r="AH39" s="23"/>
      <c r="AI39" s="21">
        <v>1857</v>
      </c>
      <c r="AJ39" s="22"/>
      <c r="AK39" s="22"/>
      <c r="AL39" s="22"/>
      <c r="AM39" s="23"/>
      <c r="AN39" s="21">
        <v>1937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>
        <v>247</v>
      </c>
      <c r="F40" s="22"/>
      <c r="G40" s="22"/>
      <c r="H40" s="22"/>
      <c r="I40" s="23"/>
      <c r="J40" s="32">
        <f t="shared" ref="J40:J46" si="4">E40*0.0012</f>
        <v>0.2964</v>
      </c>
      <c r="K40" s="22"/>
      <c r="L40" s="22"/>
      <c r="M40" s="22"/>
      <c r="N40" s="23"/>
      <c r="O40" s="31">
        <v>1523</v>
      </c>
      <c r="P40" s="22"/>
      <c r="Q40" s="22"/>
      <c r="R40" s="22"/>
      <c r="S40" s="23"/>
      <c r="T40" s="25">
        <v>247</v>
      </c>
      <c r="U40" s="22"/>
      <c r="V40" s="22"/>
      <c r="W40" s="22"/>
      <c r="X40" s="23"/>
      <c r="Y40" s="24">
        <f t="shared" si="1"/>
        <v>0.32925100000000002</v>
      </c>
      <c r="Z40" s="22"/>
      <c r="AA40" s="22"/>
      <c r="AB40" s="22"/>
      <c r="AC40" s="23"/>
      <c r="AD40" s="25">
        <v>1545</v>
      </c>
      <c r="AE40" s="22"/>
      <c r="AF40" s="22"/>
      <c r="AG40" s="22"/>
      <c r="AH40" s="23"/>
      <c r="AI40" s="21">
        <v>1559</v>
      </c>
      <c r="AJ40" s="22"/>
      <c r="AK40" s="22"/>
      <c r="AL40" s="22"/>
      <c r="AM40" s="23"/>
      <c r="AN40" s="21">
        <v>1639</v>
      </c>
      <c r="AO40" s="22"/>
      <c r="AP40" s="22"/>
      <c r="AQ40" s="22"/>
      <c r="AR40" s="23"/>
      <c r="AS40" s="21"/>
      <c r="AT40" s="22"/>
      <c r="AU40" s="22"/>
      <c r="AV40" s="22"/>
      <c r="AW40" s="23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>
        <v>281</v>
      </c>
      <c r="F41" s="22"/>
      <c r="G41" s="22"/>
      <c r="H41" s="22"/>
      <c r="I41" s="23"/>
      <c r="J41" s="32">
        <f t="shared" si="4"/>
        <v>0.33719999999999994</v>
      </c>
      <c r="K41" s="22"/>
      <c r="L41" s="22"/>
      <c r="M41" s="22"/>
      <c r="N41" s="23"/>
      <c r="O41" s="31">
        <v>1615</v>
      </c>
      <c r="P41" s="22"/>
      <c r="Q41" s="22"/>
      <c r="R41" s="22"/>
      <c r="S41" s="23"/>
      <c r="T41" s="34">
        <v>281</v>
      </c>
      <c r="U41" s="22"/>
      <c r="V41" s="22"/>
      <c r="W41" s="22"/>
      <c r="X41" s="23"/>
      <c r="Y41" s="24">
        <f t="shared" si="1"/>
        <v>0.37457299999999999</v>
      </c>
      <c r="Z41" s="22"/>
      <c r="AA41" s="22"/>
      <c r="AB41" s="22"/>
      <c r="AC41" s="23"/>
      <c r="AD41" s="25">
        <v>1633</v>
      </c>
      <c r="AE41" s="22"/>
      <c r="AF41" s="22"/>
      <c r="AG41" s="22"/>
      <c r="AH41" s="23"/>
      <c r="AI41" s="21">
        <v>1705</v>
      </c>
      <c r="AJ41" s="22"/>
      <c r="AK41" s="22"/>
      <c r="AL41" s="22"/>
      <c r="AM41" s="23"/>
      <c r="AN41" s="21">
        <v>1745</v>
      </c>
      <c r="AO41" s="22"/>
      <c r="AP41" s="22"/>
      <c r="AQ41" s="22"/>
      <c r="AR41" s="23"/>
      <c r="AS41" s="21"/>
      <c r="AT41" s="22"/>
      <c r="AU41" s="22"/>
      <c r="AV41" s="22"/>
      <c r="AW41" s="23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>
        <v>391</v>
      </c>
      <c r="F42" s="22"/>
      <c r="G42" s="22"/>
      <c r="H42" s="22"/>
      <c r="I42" s="23"/>
      <c r="J42" s="32">
        <f t="shared" si="4"/>
        <v>0.46919999999999995</v>
      </c>
      <c r="K42" s="22"/>
      <c r="L42" s="22"/>
      <c r="M42" s="22"/>
      <c r="N42" s="23"/>
      <c r="O42" s="31">
        <v>1617</v>
      </c>
      <c r="P42" s="22"/>
      <c r="Q42" s="22"/>
      <c r="R42" s="22"/>
      <c r="S42" s="23"/>
      <c r="T42" s="34">
        <v>391</v>
      </c>
      <c r="U42" s="22"/>
      <c r="V42" s="22"/>
      <c r="W42" s="22"/>
      <c r="X42" s="23"/>
      <c r="Y42" s="24">
        <f t="shared" si="1"/>
        <v>0.52120299999999997</v>
      </c>
      <c r="Z42" s="22"/>
      <c r="AA42" s="22"/>
      <c r="AB42" s="22"/>
      <c r="AC42" s="23"/>
      <c r="AD42" s="25">
        <v>1634</v>
      </c>
      <c r="AE42" s="22"/>
      <c r="AF42" s="22"/>
      <c r="AG42" s="22"/>
      <c r="AH42" s="23"/>
      <c r="AI42" s="21">
        <v>1706</v>
      </c>
      <c r="AJ42" s="22"/>
      <c r="AK42" s="22"/>
      <c r="AL42" s="22"/>
      <c r="AM42" s="23"/>
      <c r="AN42" s="21">
        <v>1746</v>
      </c>
      <c r="AO42" s="22"/>
      <c r="AP42" s="22"/>
      <c r="AQ42" s="22"/>
      <c r="AR42" s="23"/>
      <c r="AS42" s="21"/>
      <c r="AT42" s="22"/>
      <c r="AU42" s="22"/>
      <c r="AV42" s="22"/>
      <c r="AW42" s="23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>
        <v>390</v>
      </c>
      <c r="F43" s="22"/>
      <c r="G43" s="22"/>
      <c r="H43" s="22"/>
      <c r="I43" s="23"/>
      <c r="J43" s="32">
        <f t="shared" si="4"/>
        <v>0.46799999999999997</v>
      </c>
      <c r="K43" s="22"/>
      <c r="L43" s="22"/>
      <c r="M43" s="22"/>
      <c r="N43" s="23"/>
      <c r="O43" s="31">
        <v>1622</v>
      </c>
      <c r="P43" s="22"/>
      <c r="Q43" s="22"/>
      <c r="R43" s="22"/>
      <c r="S43" s="23"/>
      <c r="T43" s="34">
        <v>390</v>
      </c>
      <c r="U43" s="22"/>
      <c r="V43" s="22"/>
      <c r="W43" s="22"/>
      <c r="X43" s="23"/>
      <c r="Y43" s="24">
        <f t="shared" si="1"/>
        <v>0.51986999999999994</v>
      </c>
      <c r="Z43" s="22"/>
      <c r="AA43" s="22"/>
      <c r="AB43" s="22"/>
      <c r="AC43" s="23"/>
      <c r="AD43" s="25">
        <v>1636</v>
      </c>
      <c r="AE43" s="22"/>
      <c r="AF43" s="22"/>
      <c r="AG43" s="22"/>
      <c r="AH43" s="23"/>
      <c r="AI43" s="21">
        <v>1707</v>
      </c>
      <c r="AJ43" s="22"/>
      <c r="AK43" s="22"/>
      <c r="AL43" s="22"/>
      <c r="AM43" s="23"/>
      <c r="AN43" s="21">
        <v>1747</v>
      </c>
      <c r="AO43" s="22"/>
      <c r="AP43" s="22"/>
      <c r="AQ43" s="22"/>
      <c r="AR43" s="23"/>
      <c r="AS43" s="21"/>
      <c r="AT43" s="22"/>
      <c r="AU43" s="22"/>
      <c r="AV43" s="22"/>
      <c r="AW43" s="23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>
        <v>427</v>
      </c>
      <c r="F44" s="22"/>
      <c r="G44" s="22"/>
      <c r="H44" s="22"/>
      <c r="I44" s="23"/>
      <c r="J44" s="32">
        <f t="shared" si="4"/>
        <v>0.51239999999999997</v>
      </c>
      <c r="K44" s="22"/>
      <c r="L44" s="22"/>
      <c r="M44" s="22"/>
      <c r="N44" s="23"/>
      <c r="O44" s="31">
        <v>1625</v>
      </c>
      <c r="P44" s="22"/>
      <c r="Q44" s="22"/>
      <c r="R44" s="22"/>
      <c r="S44" s="23"/>
      <c r="T44" s="34">
        <v>427</v>
      </c>
      <c r="U44" s="22"/>
      <c r="V44" s="22"/>
      <c r="W44" s="22"/>
      <c r="X44" s="23"/>
      <c r="Y44" s="24">
        <f t="shared" si="1"/>
        <v>0.569191</v>
      </c>
      <c r="Z44" s="22"/>
      <c r="AA44" s="22"/>
      <c r="AB44" s="22"/>
      <c r="AC44" s="23"/>
      <c r="AD44" s="25">
        <v>1638</v>
      </c>
      <c r="AE44" s="22"/>
      <c r="AF44" s="22"/>
      <c r="AG44" s="22"/>
      <c r="AH44" s="23"/>
      <c r="AI44" s="21">
        <v>1708</v>
      </c>
      <c r="AJ44" s="22"/>
      <c r="AK44" s="22"/>
      <c r="AL44" s="22"/>
      <c r="AM44" s="23"/>
      <c r="AN44" s="21">
        <v>1748</v>
      </c>
      <c r="AO44" s="22"/>
      <c r="AP44" s="22"/>
      <c r="AQ44" s="22"/>
      <c r="AR44" s="23"/>
      <c r="AS44" s="21"/>
      <c r="AT44" s="22"/>
      <c r="AU44" s="22"/>
      <c r="AV44" s="22"/>
      <c r="AW44" s="23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>
        <v>433</v>
      </c>
      <c r="F45" s="22"/>
      <c r="G45" s="22"/>
      <c r="H45" s="22"/>
      <c r="I45" s="23"/>
      <c r="J45" s="32">
        <f t="shared" si="4"/>
        <v>0.51959999999999995</v>
      </c>
      <c r="K45" s="22"/>
      <c r="L45" s="22"/>
      <c r="M45" s="22"/>
      <c r="N45" s="23"/>
      <c r="O45" s="31">
        <v>1628</v>
      </c>
      <c r="P45" s="22"/>
      <c r="Q45" s="22"/>
      <c r="R45" s="22"/>
      <c r="S45" s="23"/>
      <c r="T45" s="34">
        <v>433</v>
      </c>
      <c r="U45" s="22"/>
      <c r="V45" s="22"/>
      <c r="W45" s="22"/>
      <c r="X45" s="23"/>
      <c r="Y45" s="24">
        <f t="shared" si="1"/>
        <v>0.57718899999999995</v>
      </c>
      <c r="Z45" s="22"/>
      <c r="AA45" s="22"/>
      <c r="AB45" s="22"/>
      <c r="AC45" s="23"/>
      <c r="AD45" s="25">
        <v>1641</v>
      </c>
      <c r="AE45" s="22"/>
      <c r="AF45" s="22"/>
      <c r="AG45" s="22"/>
      <c r="AH45" s="23"/>
      <c r="AI45" s="21">
        <v>1709</v>
      </c>
      <c r="AJ45" s="22"/>
      <c r="AK45" s="22"/>
      <c r="AL45" s="22"/>
      <c r="AM45" s="23"/>
      <c r="AN45" s="21">
        <v>1749</v>
      </c>
      <c r="AO45" s="22"/>
      <c r="AP45" s="22"/>
      <c r="AQ45" s="22"/>
      <c r="AR45" s="23"/>
      <c r="AS45" s="21"/>
      <c r="AT45" s="22"/>
      <c r="AU45" s="22"/>
      <c r="AV45" s="22"/>
      <c r="AW45" s="23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>
        <v>262</v>
      </c>
      <c r="F46" s="22"/>
      <c r="G46" s="22"/>
      <c r="H46" s="22"/>
      <c r="I46" s="23"/>
      <c r="J46" s="32">
        <f t="shared" si="4"/>
        <v>0.31439999999999996</v>
      </c>
      <c r="K46" s="22"/>
      <c r="L46" s="22"/>
      <c r="M46" s="22"/>
      <c r="N46" s="23"/>
      <c r="O46" s="31">
        <v>1715</v>
      </c>
      <c r="P46" s="22"/>
      <c r="Q46" s="22"/>
      <c r="R46" s="22"/>
      <c r="S46" s="23"/>
      <c r="T46" s="25">
        <v>262</v>
      </c>
      <c r="U46" s="22"/>
      <c r="V46" s="22"/>
      <c r="W46" s="22"/>
      <c r="X46" s="23"/>
      <c r="Y46" s="24">
        <f t="shared" si="1"/>
        <v>0.349246</v>
      </c>
      <c r="Z46" s="22"/>
      <c r="AA46" s="22"/>
      <c r="AB46" s="22"/>
      <c r="AC46" s="23"/>
      <c r="AD46" s="25">
        <v>1733</v>
      </c>
      <c r="AE46" s="22"/>
      <c r="AF46" s="22"/>
      <c r="AG46" s="22"/>
      <c r="AH46" s="23"/>
      <c r="AI46" s="21">
        <v>1759</v>
      </c>
      <c r="AJ46" s="22"/>
      <c r="AK46" s="22"/>
      <c r="AL46" s="22"/>
      <c r="AM46" s="23"/>
      <c r="AN46" s="21">
        <v>1839</v>
      </c>
      <c r="AO46" s="22"/>
      <c r="AP46" s="22"/>
      <c r="AQ46" s="22"/>
      <c r="AR46" s="23"/>
      <c r="AS46" s="21"/>
      <c r="AT46" s="22"/>
      <c r="AU46" s="22"/>
      <c r="AV46" s="22"/>
      <c r="AW46" s="23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42"/>
      <c r="DV47" s="28"/>
      <c r="DW47" s="28"/>
      <c r="DX47" s="28"/>
      <c r="DY47" s="28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42"/>
      <c r="DV48" s="28"/>
      <c r="DW48" s="28"/>
      <c r="DX48" s="28"/>
      <c r="DY48" s="28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416">
    <mergeCell ref="AS3:AW3"/>
    <mergeCell ref="E3:I3"/>
    <mergeCell ref="J3:N3"/>
    <mergeCell ref="O3:S3"/>
    <mergeCell ref="T3:X3"/>
    <mergeCell ref="AI6:AM6"/>
    <mergeCell ref="AN6:AR6"/>
    <mergeCell ref="AI5:AM5"/>
    <mergeCell ref="AN5:AR5"/>
    <mergeCell ref="J4:N4"/>
    <mergeCell ref="O4:S4"/>
    <mergeCell ref="AD4:AH4"/>
    <mergeCell ref="T4:X4"/>
    <mergeCell ref="Y4:AC4"/>
    <mergeCell ref="E5:I5"/>
    <mergeCell ref="J5:N5"/>
    <mergeCell ref="O5:S5"/>
    <mergeCell ref="T5:X5"/>
    <mergeCell ref="Y5:AC5"/>
    <mergeCell ref="AD5:AH5"/>
    <mergeCell ref="Y3:AC3"/>
    <mergeCell ref="AI4:AM4"/>
    <mergeCell ref="AI3:AM3"/>
    <mergeCell ref="AS6:AW6"/>
    <mergeCell ref="AI1:AM1"/>
    <mergeCell ref="AN1:AR1"/>
    <mergeCell ref="E1:I1"/>
    <mergeCell ref="J1:N1"/>
    <mergeCell ref="O1:S1"/>
    <mergeCell ref="T1:X1"/>
    <mergeCell ref="Y1:AC1"/>
    <mergeCell ref="AD1:AH1"/>
    <mergeCell ref="AS1:AW1"/>
    <mergeCell ref="AI2:AM2"/>
    <mergeCell ref="AN2:AR2"/>
    <mergeCell ref="AS5:AW5"/>
    <mergeCell ref="AS2:AW2"/>
    <mergeCell ref="E4:I4"/>
    <mergeCell ref="AN4:AR4"/>
    <mergeCell ref="AS4:AW4"/>
    <mergeCell ref="AN3:AR3"/>
    <mergeCell ref="T8:X8"/>
    <mergeCell ref="Y8:AC8"/>
    <mergeCell ref="AN8:AR8"/>
    <mergeCell ref="AS8:AW8"/>
    <mergeCell ref="E8:I8"/>
    <mergeCell ref="J8:N8"/>
    <mergeCell ref="O8:S8"/>
    <mergeCell ref="AI8:AM8"/>
    <mergeCell ref="E6:I6"/>
    <mergeCell ref="J6:N6"/>
    <mergeCell ref="O6:S6"/>
    <mergeCell ref="AD8:AH8"/>
    <mergeCell ref="E7:I7"/>
    <mergeCell ref="J7:N7"/>
    <mergeCell ref="O7:S7"/>
    <mergeCell ref="T7:X7"/>
    <mergeCell ref="Y7:AC7"/>
    <mergeCell ref="T6:X6"/>
    <mergeCell ref="Y6:AC6"/>
    <mergeCell ref="AD6:AH6"/>
    <mergeCell ref="AD7:AH7"/>
    <mergeCell ref="AI7:AM7"/>
    <mergeCell ref="AN7:AR7"/>
    <mergeCell ref="AS7:AW7"/>
    <mergeCell ref="E9:I9"/>
    <mergeCell ref="J9:N9"/>
    <mergeCell ref="O9:S9"/>
    <mergeCell ref="T9:X9"/>
    <mergeCell ref="Y9:AC9"/>
    <mergeCell ref="AI10:AM10"/>
    <mergeCell ref="AD9:AH9"/>
    <mergeCell ref="AI9:AM9"/>
    <mergeCell ref="AN9:AR9"/>
    <mergeCell ref="J11:N11"/>
    <mergeCell ref="AS11:AW11"/>
    <mergeCell ref="Y10:AC10"/>
    <mergeCell ref="Y11:AC11"/>
    <mergeCell ref="AD10:AH10"/>
    <mergeCell ref="AD11:AH11"/>
    <mergeCell ref="E10:I10"/>
    <mergeCell ref="J10:N10"/>
    <mergeCell ref="O10:S10"/>
    <mergeCell ref="E16:I16"/>
    <mergeCell ref="J16:N16"/>
    <mergeCell ref="O16:S16"/>
    <mergeCell ref="T16:X16"/>
    <mergeCell ref="Y16:AC16"/>
    <mergeCell ref="AN17:AR17"/>
    <mergeCell ref="E13:I13"/>
    <mergeCell ref="J13:N13"/>
    <mergeCell ref="O13:S13"/>
    <mergeCell ref="AI13:AM13"/>
    <mergeCell ref="E15:I15"/>
    <mergeCell ref="J15:N15"/>
    <mergeCell ref="O15:S15"/>
    <mergeCell ref="T15:X15"/>
    <mergeCell ref="Y15:AC15"/>
    <mergeCell ref="AD15:AH15"/>
    <mergeCell ref="AI15:AM15"/>
    <mergeCell ref="E14:I14"/>
    <mergeCell ref="J14:N14"/>
    <mergeCell ref="O14:S14"/>
    <mergeCell ref="AN10:AR10"/>
    <mergeCell ref="E17:I17"/>
    <mergeCell ref="J17:N17"/>
    <mergeCell ref="O17:S17"/>
    <mergeCell ref="AD17:AH17"/>
    <mergeCell ref="AI17:AM17"/>
    <mergeCell ref="T17:X17"/>
    <mergeCell ref="Y17:AC17"/>
    <mergeCell ref="E18:I18"/>
    <mergeCell ref="J18:N18"/>
    <mergeCell ref="O18:S18"/>
    <mergeCell ref="T18:X18"/>
    <mergeCell ref="Y18:AC18"/>
    <mergeCell ref="AD18:AH18"/>
    <mergeCell ref="AI18:AM18"/>
    <mergeCell ref="E2:I2"/>
    <mergeCell ref="J2:N2"/>
    <mergeCell ref="O2:S2"/>
    <mergeCell ref="T2:X2"/>
    <mergeCell ref="Y2:AC2"/>
    <mergeCell ref="AD2:AH2"/>
    <mergeCell ref="AD3:AH3"/>
    <mergeCell ref="AN12:AR12"/>
    <mergeCell ref="AS12:AW12"/>
    <mergeCell ref="E12:I12"/>
    <mergeCell ref="J12:N12"/>
    <mergeCell ref="O12:S12"/>
    <mergeCell ref="T12:X12"/>
    <mergeCell ref="Y12:AC12"/>
    <mergeCell ref="AD12:AH12"/>
    <mergeCell ref="AI12:AM12"/>
    <mergeCell ref="AS9:AW9"/>
    <mergeCell ref="AS10:AW10"/>
    <mergeCell ref="O11:S11"/>
    <mergeCell ref="T10:X10"/>
    <mergeCell ref="T11:X11"/>
    <mergeCell ref="AI11:AM11"/>
    <mergeCell ref="AN11:AR11"/>
    <mergeCell ref="E11:I11"/>
    <mergeCell ref="AS21:AW21"/>
    <mergeCell ref="AS20:AW20"/>
    <mergeCell ref="AN20:AR20"/>
    <mergeCell ref="AN15:AR15"/>
    <mergeCell ref="AS15:AW15"/>
    <mergeCell ref="AD13:AH13"/>
    <mergeCell ref="T13:X13"/>
    <mergeCell ref="Y13:AC13"/>
    <mergeCell ref="T14:X14"/>
    <mergeCell ref="Y14:AC14"/>
    <mergeCell ref="AD14:AH14"/>
    <mergeCell ref="AI14:AM14"/>
    <mergeCell ref="AN14:AR14"/>
    <mergeCell ref="AS14:AW14"/>
    <mergeCell ref="AS13:AW13"/>
    <mergeCell ref="AN13:AR13"/>
    <mergeCell ref="AD16:AH16"/>
    <mergeCell ref="AI16:AM16"/>
    <mergeCell ref="AN16:AR16"/>
    <mergeCell ref="AS16:AW16"/>
    <mergeCell ref="AS17:AW17"/>
    <mergeCell ref="AS18:AW18"/>
    <mergeCell ref="AN18:AR18"/>
    <mergeCell ref="E21:I21"/>
    <mergeCell ref="J21:N21"/>
    <mergeCell ref="O21:S21"/>
    <mergeCell ref="AN19:AR19"/>
    <mergeCell ref="AS19:AW19"/>
    <mergeCell ref="E19:I19"/>
    <mergeCell ref="J19:N19"/>
    <mergeCell ref="O19:S19"/>
    <mergeCell ref="T19:X19"/>
    <mergeCell ref="Y19:AC19"/>
    <mergeCell ref="AD19:AH19"/>
    <mergeCell ref="AI19:AM19"/>
    <mergeCell ref="E20:I20"/>
    <mergeCell ref="J20:N20"/>
    <mergeCell ref="O20:S20"/>
    <mergeCell ref="AI20:AM20"/>
    <mergeCell ref="AD20:AH20"/>
    <mergeCell ref="T20:X20"/>
    <mergeCell ref="Y20:AC20"/>
    <mergeCell ref="T21:X21"/>
    <mergeCell ref="Y21:AC21"/>
    <mergeCell ref="AD21:AH21"/>
    <mergeCell ref="AI21:AM21"/>
    <mergeCell ref="AN21:AR21"/>
    <mergeCell ref="AD22:AH22"/>
    <mergeCell ref="AI22:AM22"/>
    <mergeCell ref="AN22:AR22"/>
    <mergeCell ref="AS22:AW22"/>
    <mergeCell ref="E22:I22"/>
    <mergeCell ref="J22:N22"/>
    <mergeCell ref="O22:S22"/>
    <mergeCell ref="T22:X22"/>
    <mergeCell ref="Y22:AC22"/>
    <mergeCell ref="E36:I36"/>
    <mergeCell ref="J36:N36"/>
    <mergeCell ref="O36:S36"/>
    <mergeCell ref="T36:X36"/>
    <mergeCell ref="Y36:AC36"/>
    <mergeCell ref="AD36:AH36"/>
    <mergeCell ref="E33:I33"/>
    <mergeCell ref="J33:N33"/>
    <mergeCell ref="O33:S33"/>
    <mergeCell ref="T33:X33"/>
    <mergeCell ref="Y33:AC33"/>
    <mergeCell ref="AD33:AH33"/>
    <mergeCell ref="E34:I34"/>
    <mergeCell ref="J34:N34"/>
    <mergeCell ref="O34:S34"/>
    <mergeCell ref="AD34:AH34"/>
    <mergeCell ref="T34:X34"/>
    <mergeCell ref="Y34:AC34"/>
    <mergeCell ref="T35:X35"/>
    <mergeCell ref="Y35:AC35"/>
    <mergeCell ref="E35:I35"/>
    <mergeCell ref="J35:N35"/>
    <mergeCell ref="O35:S35"/>
    <mergeCell ref="AD35:AH35"/>
    <mergeCell ref="AS28:AW28"/>
    <mergeCell ref="AS27:AW27"/>
    <mergeCell ref="AN27:AR27"/>
    <mergeCell ref="E28:I28"/>
    <mergeCell ref="J28:N28"/>
    <mergeCell ref="O28:S28"/>
    <mergeCell ref="E27:I27"/>
    <mergeCell ref="J27:N27"/>
    <mergeCell ref="O27:S27"/>
    <mergeCell ref="E39:I39"/>
    <mergeCell ref="J39:N39"/>
    <mergeCell ref="O39:S39"/>
    <mergeCell ref="AD27:AH27"/>
    <mergeCell ref="T27:X27"/>
    <mergeCell ref="Y27:AC27"/>
    <mergeCell ref="T28:X28"/>
    <mergeCell ref="Y28:AC28"/>
    <mergeCell ref="AD28:AH28"/>
    <mergeCell ref="AD38:AH38"/>
    <mergeCell ref="T38:X38"/>
    <mergeCell ref="Y38:AC38"/>
    <mergeCell ref="T39:X39"/>
    <mergeCell ref="Y39:AC39"/>
    <mergeCell ref="AD39:AH39"/>
    <mergeCell ref="E37:I37"/>
    <mergeCell ref="J37:N37"/>
    <mergeCell ref="O37:S37"/>
    <mergeCell ref="T37:X37"/>
    <mergeCell ref="Y37:AC37"/>
    <mergeCell ref="E38:I38"/>
    <mergeCell ref="J38:N38"/>
    <mergeCell ref="O38:S38"/>
    <mergeCell ref="AD37:AH37"/>
    <mergeCell ref="Y25:AC25"/>
    <mergeCell ref="AD25:AH25"/>
    <mergeCell ref="AI25:AM25"/>
    <mergeCell ref="AI27:AM27"/>
    <mergeCell ref="AD29:AH29"/>
    <mergeCell ref="AI29:AM29"/>
    <mergeCell ref="AN29:AR29"/>
    <mergeCell ref="AS29:AW29"/>
    <mergeCell ref="E29:I29"/>
    <mergeCell ref="J29:N29"/>
    <mergeCell ref="O29:S29"/>
    <mergeCell ref="T29:X29"/>
    <mergeCell ref="Y29:AC29"/>
    <mergeCell ref="AN26:AR26"/>
    <mergeCell ref="AS26:AW26"/>
    <mergeCell ref="E26:I26"/>
    <mergeCell ref="J26:N26"/>
    <mergeCell ref="O26:S26"/>
    <mergeCell ref="T26:X26"/>
    <mergeCell ref="Y26:AC26"/>
    <mergeCell ref="AD26:AH26"/>
    <mergeCell ref="AI26:AM26"/>
    <mergeCell ref="AI28:AM28"/>
    <mergeCell ref="AN28:AR28"/>
    <mergeCell ref="AN25:AR25"/>
    <mergeCell ref="AS25:AW25"/>
    <mergeCell ref="AS24:AW24"/>
    <mergeCell ref="AN24:AR24"/>
    <mergeCell ref="AN23:AR23"/>
    <mergeCell ref="AS23:AW23"/>
    <mergeCell ref="E23:I23"/>
    <mergeCell ref="J23:N23"/>
    <mergeCell ref="O23:S23"/>
    <mergeCell ref="T23:X23"/>
    <mergeCell ref="Y23:AC23"/>
    <mergeCell ref="AD23:AH23"/>
    <mergeCell ref="AI23:AM23"/>
    <mergeCell ref="E25:I25"/>
    <mergeCell ref="J25:N25"/>
    <mergeCell ref="O25:S25"/>
    <mergeCell ref="E24:I24"/>
    <mergeCell ref="J24:N24"/>
    <mergeCell ref="O24:S24"/>
    <mergeCell ref="AI24:AM24"/>
    <mergeCell ref="AD24:AH24"/>
    <mergeCell ref="T24:X24"/>
    <mergeCell ref="Y24:AC24"/>
    <mergeCell ref="T25:X25"/>
    <mergeCell ref="E30:I30"/>
    <mergeCell ref="J30:N30"/>
    <mergeCell ref="O30:S30"/>
    <mergeCell ref="T30:X30"/>
    <mergeCell ref="Y30:AC30"/>
    <mergeCell ref="AD30:AH30"/>
    <mergeCell ref="AI30:AM30"/>
    <mergeCell ref="E32:I32"/>
    <mergeCell ref="J32:N32"/>
    <mergeCell ref="O32:S32"/>
    <mergeCell ref="E31:I31"/>
    <mergeCell ref="J31:N31"/>
    <mergeCell ref="O31:S31"/>
    <mergeCell ref="AI31:AM31"/>
    <mergeCell ref="AD31:AH31"/>
    <mergeCell ref="T31:X31"/>
    <mergeCell ref="Y31:AC31"/>
    <mergeCell ref="T32:X32"/>
    <mergeCell ref="Y32:AC32"/>
    <mergeCell ref="AD32:AH32"/>
    <mergeCell ref="AI32:AM32"/>
    <mergeCell ref="AI36:AM36"/>
    <mergeCell ref="AI35:AM35"/>
    <mergeCell ref="AI34:AM34"/>
    <mergeCell ref="AI33:AM33"/>
    <mergeCell ref="AI37:AM37"/>
    <mergeCell ref="AI39:AM39"/>
    <mergeCell ref="AN37:AR37"/>
    <mergeCell ref="AS37:AW37"/>
    <mergeCell ref="AI38:AM38"/>
    <mergeCell ref="AN33:AR33"/>
    <mergeCell ref="AN42:AR42"/>
    <mergeCell ref="AN32:AR32"/>
    <mergeCell ref="AS32:AW32"/>
    <mergeCell ref="AS31:AW31"/>
    <mergeCell ref="AN31:AR31"/>
    <mergeCell ref="AN30:AR30"/>
    <mergeCell ref="AS30:AW30"/>
    <mergeCell ref="AN39:AR39"/>
    <mergeCell ref="AS39:AW39"/>
    <mergeCell ref="AS38:AW38"/>
    <mergeCell ref="AN38:AR38"/>
    <mergeCell ref="AS42:AW42"/>
    <mergeCell ref="J42:N42"/>
    <mergeCell ref="AS41:AW41"/>
    <mergeCell ref="T41:X41"/>
    <mergeCell ref="Y41:AC41"/>
    <mergeCell ref="AI40:AM40"/>
    <mergeCell ref="AN40:AR40"/>
    <mergeCell ref="E40:I40"/>
    <mergeCell ref="J40:N40"/>
    <mergeCell ref="O40:S40"/>
    <mergeCell ref="T40:X40"/>
    <mergeCell ref="Y40:AC40"/>
    <mergeCell ref="AD40:AH40"/>
    <mergeCell ref="AS40:AW40"/>
    <mergeCell ref="E41:I41"/>
    <mergeCell ref="J41:N41"/>
    <mergeCell ref="O41:S41"/>
    <mergeCell ref="AI41:AM41"/>
    <mergeCell ref="T42:X42"/>
    <mergeCell ref="Y42:AC42"/>
    <mergeCell ref="AD42:AH42"/>
    <mergeCell ref="AD41:AH41"/>
    <mergeCell ref="AN41:AR41"/>
    <mergeCell ref="O42:S42"/>
    <mergeCell ref="AI42:AM42"/>
    <mergeCell ref="AS33:AW33"/>
    <mergeCell ref="AN36:AR36"/>
    <mergeCell ref="AS36:AW36"/>
    <mergeCell ref="AN35:AR35"/>
    <mergeCell ref="AS35:AW35"/>
    <mergeCell ref="AS34:AW34"/>
    <mergeCell ref="AN34:AR34"/>
    <mergeCell ref="E45:I45"/>
    <mergeCell ref="J45:N45"/>
    <mergeCell ref="O45:S45"/>
    <mergeCell ref="AI45:AM45"/>
    <mergeCell ref="AD45:AH45"/>
    <mergeCell ref="T45:X45"/>
    <mergeCell ref="Y45:AC45"/>
    <mergeCell ref="E43:I43"/>
    <mergeCell ref="J43:N43"/>
    <mergeCell ref="O43:S43"/>
    <mergeCell ref="T43:X43"/>
    <mergeCell ref="Y43:AC43"/>
    <mergeCell ref="AD43:AH43"/>
    <mergeCell ref="AI43:AM43"/>
    <mergeCell ref="AN43:AR43"/>
    <mergeCell ref="AS43:AW43"/>
    <mergeCell ref="E42:I42"/>
    <mergeCell ref="DU48:DY48"/>
    <mergeCell ref="AD44:AH44"/>
    <mergeCell ref="AI44:AM44"/>
    <mergeCell ref="AN44:AR44"/>
    <mergeCell ref="AS44:AW44"/>
    <mergeCell ref="T46:X46"/>
    <mergeCell ref="Y46:AC46"/>
    <mergeCell ref="AD46:AH46"/>
    <mergeCell ref="E44:I44"/>
    <mergeCell ref="J44:N44"/>
    <mergeCell ref="O44:S44"/>
    <mergeCell ref="T44:X44"/>
    <mergeCell ref="Y44:AC44"/>
    <mergeCell ref="AI46:AM46"/>
    <mergeCell ref="AN46:AR46"/>
    <mergeCell ref="E46:I46"/>
    <mergeCell ref="J46:N46"/>
    <mergeCell ref="O46:S46"/>
    <mergeCell ref="AS45:AW45"/>
    <mergeCell ref="AN45:AR45"/>
    <mergeCell ref="AS46:AW46"/>
    <mergeCell ref="DU47:DY47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D85C6"/>
    <outlinePr summaryBelow="0" summaryRight="0"/>
    <pageSetUpPr fitToPage="1"/>
  </sheetPr>
  <dimension ref="A1:GB71"/>
  <sheetViews>
    <sheetView showGridLines="0" topLeftCell="A13" workbookViewId="0">
      <selection activeCell="O43" sqref="O43:S43"/>
    </sheetView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75" customWidth="1"/>
    <col min="4" max="4" width="15.75" customWidth="1"/>
    <col min="5" max="18" width="3" customWidth="1"/>
    <col min="19" max="19" width="25.75" customWidth="1"/>
    <col min="20" max="23" width="3" customWidth="1"/>
    <col min="24" max="24" width="2.75" customWidth="1"/>
    <col min="25" max="48" width="3" customWidth="1"/>
    <col min="49" max="49" width="14.33203125" customWidth="1"/>
    <col min="50" max="78" width="3" customWidth="1"/>
    <col min="79" max="79" width="18.4140625" customWidth="1"/>
    <col min="80" max="138" width="3" customWidth="1"/>
    <col min="139" max="139" width="12.6640625" customWidth="1"/>
    <col min="14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432</v>
      </c>
      <c r="F2" s="22"/>
      <c r="G2" s="22"/>
      <c r="H2" s="22"/>
      <c r="I2" s="23"/>
      <c r="J2" s="32">
        <f t="shared" ref="J2:J17" si="0">E2*0.00125</f>
        <v>0.54</v>
      </c>
      <c r="K2" s="22"/>
      <c r="L2" s="22"/>
      <c r="M2" s="22"/>
      <c r="N2" s="23"/>
      <c r="O2" s="32">
        <v>1917</v>
      </c>
      <c r="P2" s="22"/>
      <c r="Q2" s="22"/>
      <c r="R2" s="22"/>
      <c r="S2" s="23"/>
      <c r="T2" s="24">
        <v>432</v>
      </c>
      <c r="U2" s="22"/>
      <c r="V2" s="22"/>
      <c r="W2" s="22"/>
      <c r="X2" s="23"/>
      <c r="Y2" s="24">
        <f t="shared" ref="Y2:Y46" si="1">T2*0.001333</f>
        <v>0.57585600000000003</v>
      </c>
      <c r="Z2" s="22"/>
      <c r="AA2" s="22"/>
      <c r="AB2" s="22"/>
      <c r="AC2" s="23"/>
      <c r="AD2" s="24">
        <v>1940</v>
      </c>
      <c r="AE2" s="22"/>
      <c r="AF2" s="22"/>
      <c r="AG2" s="22"/>
      <c r="AH2" s="23"/>
      <c r="AI2" s="26">
        <v>1957</v>
      </c>
      <c r="AJ2" s="22"/>
      <c r="AK2" s="22"/>
      <c r="AL2" s="22"/>
      <c r="AM2" s="23"/>
      <c r="AN2" s="26">
        <v>2037</v>
      </c>
      <c r="AO2" s="22"/>
      <c r="AP2" s="22"/>
      <c r="AQ2" s="22"/>
      <c r="AR2" s="23"/>
      <c r="AS2" s="26" t="s">
        <v>103</v>
      </c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443</v>
      </c>
      <c r="F3" s="22"/>
      <c r="G3" s="22"/>
      <c r="H3" s="22"/>
      <c r="I3" s="23"/>
      <c r="J3" s="32">
        <f t="shared" si="0"/>
        <v>0.55374999999999996</v>
      </c>
      <c r="K3" s="22"/>
      <c r="L3" s="22"/>
      <c r="M3" s="22"/>
      <c r="N3" s="23"/>
      <c r="O3" s="32">
        <v>1920</v>
      </c>
      <c r="P3" s="22"/>
      <c r="Q3" s="22"/>
      <c r="R3" s="22"/>
      <c r="S3" s="23"/>
      <c r="T3" s="36">
        <v>443</v>
      </c>
      <c r="U3" s="22"/>
      <c r="V3" s="22"/>
      <c r="W3" s="22"/>
      <c r="X3" s="23"/>
      <c r="Y3" s="24">
        <f t="shared" si="1"/>
        <v>0.59051900000000002</v>
      </c>
      <c r="Z3" s="22"/>
      <c r="AA3" s="22"/>
      <c r="AB3" s="22"/>
      <c r="AC3" s="23"/>
      <c r="AD3" s="24">
        <v>1942</v>
      </c>
      <c r="AE3" s="22"/>
      <c r="AF3" s="22"/>
      <c r="AG3" s="22"/>
      <c r="AH3" s="23"/>
      <c r="AI3" s="26">
        <v>1958</v>
      </c>
      <c r="AJ3" s="22"/>
      <c r="AK3" s="22"/>
      <c r="AL3" s="22"/>
      <c r="AM3" s="23"/>
      <c r="AN3" s="26">
        <v>2038</v>
      </c>
      <c r="AO3" s="22"/>
      <c r="AP3" s="22"/>
      <c r="AQ3" s="22"/>
      <c r="AR3" s="23"/>
      <c r="AS3" s="26"/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433</v>
      </c>
      <c r="F4" s="22"/>
      <c r="G4" s="22"/>
      <c r="H4" s="22"/>
      <c r="I4" s="23"/>
      <c r="J4" s="32">
        <f t="shared" si="0"/>
        <v>0.54125000000000001</v>
      </c>
      <c r="K4" s="22"/>
      <c r="L4" s="22"/>
      <c r="M4" s="22"/>
      <c r="N4" s="23"/>
      <c r="O4" s="32">
        <v>1922</v>
      </c>
      <c r="P4" s="22"/>
      <c r="Q4" s="22"/>
      <c r="R4" s="22"/>
      <c r="S4" s="23"/>
      <c r="T4" s="36">
        <v>433</v>
      </c>
      <c r="U4" s="22"/>
      <c r="V4" s="22"/>
      <c r="W4" s="22"/>
      <c r="X4" s="23"/>
      <c r="Y4" s="24">
        <f t="shared" si="1"/>
        <v>0.57718899999999995</v>
      </c>
      <c r="Z4" s="22"/>
      <c r="AA4" s="22"/>
      <c r="AB4" s="22"/>
      <c r="AC4" s="23"/>
      <c r="AD4" s="24">
        <v>1944</v>
      </c>
      <c r="AE4" s="22"/>
      <c r="AF4" s="22"/>
      <c r="AG4" s="22"/>
      <c r="AH4" s="23"/>
      <c r="AI4" s="26">
        <v>1959</v>
      </c>
      <c r="AJ4" s="22"/>
      <c r="AK4" s="22"/>
      <c r="AL4" s="22"/>
      <c r="AM4" s="23"/>
      <c r="AN4" s="26">
        <v>2039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436</v>
      </c>
      <c r="F5" s="22"/>
      <c r="G5" s="22"/>
      <c r="H5" s="22"/>
      <c r="I5" s="23"/>
      <c r="J5" s="32">
        <f t="shared" si="0"/>
        <v>0.54500000000000004</v>
      </c>
      <c r="K5" s="22"/>
      <c r="L5" s="22"/>
      <c r="M5" s="22"/>
      <c r="N5" s="23"/>
      <c r="O5" s="32">
        <v>2010</v>
      </c>
      <c r="P5" s="22"/>
      <c r="Q5" s="22"/>
      <c r="R5" s="22"/>
      <c r="S5" s="23"/>
      <c r="T5" s="36">
        <v>436</v>
      </c>
      <c r="U5" s="22"/>
      <c r="V5" s="22"/>
      <c r="W5" s="22"/>
      <c r="X5" s="23"/>
      <c r="Y5" s="24">
        <f t="shared" si="1"/>
        <v>0.58118800000000004</v>
      </c>
      <c r="Z5" s="22"/>
      <c r="AA5" s="22"/>
      <c r="AB5" s="22"/>
      <c r="AC5" s="23"/>
      <c r="AD5" s="24">
        <v>2026</v>
      </c>
      <c r="AE5" s="22"/>
      <c r="AF5" s="22"/>
      <c r="AG5" s="22"/>
      <c r="AH5" s="23"/>
      <c r="AI5" s="26">
        <v>2045</v>
      </c>
      <c r="AJ5" s="22"/>
      <c r="AK5" s="22"/>
      <c r="AL5" s="22"/>
      <c r="AM5" s="23"/>
      <c r="AN5" s="26">
        <v>2125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465</v>
      </c>
      <c r="F6" s="22"/>
      <c r="G6" s="22"/>
      <c r="H6" s="22"/>
      <c r="I6" s="23"/>
      <c r="J6" s="32">
        <f t="shared" si="0"/>
        <v>0.58125000000000004</v>
      </c>
      <c r="K6" s="22"/>
      <c r="L6" s="22"/>
      <c r="M6" s="22"/>
      <c r="N6" s="23"/>
      <c r="O6" s="32">
        <v>2013</v>
      </c>
      <c r="P6" s="22"/>
      <c r="Q6" s="22"/>
      <c r="R6" s="22"/>
      <c r="S6" s="23"/>
      <c r="T6" s="24">
        <v>465</v>
      </c>
      <c r="U6" s="22"/>
      <c r="V6" s="22"/>
      <c r="W6" s="22"/>
      <c r="X6" s="23"/>
      <c r="Y6" s="24">
        <f t="shared" si="1"/>
        <v>0.61984499999999998</v>
      </c>
      <c r="Z6" s="22"/>
      <c r="AA6" s="22"/>
      <c r="AB6" s="22"/>
      <c r="AC6" s="23"/>
      <c r="AD6" s="24">
        <v>2028</v>
      </c>
      <c r="AE6" s="22"/>
      <c r="AF6" s="22"/>
      <c r="AG6" s="22"/>
      <c r="AH6" s="23"/>
      <c r="AI6" s="26">
        <v>2046</v>
      </c>
      <c r="AJ6" s="22"/>
      <c r="AK6" s="22"/>
      <c r="AL6" s="22"/>
      <c r="AM6" s="23"/>
      <c r="AN6" s="26">
        <v>2126</v>
      </c>
      <c r="AO6" s="22"/>
      <c r="AP6" s="22"/>
      <c r="AQ6" s="22"/>
      <c r="AR6" s="23"/>
      <c r="AS6" s="26"/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423</v>
      </c>
      <c r="F7" s="22"/>
      <c r="G7" s="22"/>
      <c r="H7" s="22"/>
      <c r="I7" s="23"/>
      <c r="J7" s="32">
        <f t="shared" si="0"/>
        <v>0.52875000000000005</v>
      </c>
      <c r="K7" s="22"/>
      <c r="L7" s="22"/>
      <c r="M7" s="22"/>
      <c r="N7" s="23"/>
      <c r="O7" s="32">
        <v>2016</v>
      </c>
      <c r="P7" s="22"/>
      <c r="Q7" s="22"/>
      <c r="R7" s="22"/>
      <c r="S7" s="23"/>
      <c r="T7" s="24">
        <v>423</v>
      </c>
      <c r="U7" s="22"/>
      <c r="V7" s="22"/>
      <c r="W7" s="22"/>
      <c r="X7" s="23"/>
      <c r="Y7" s="24">
        <f t="shared" si="1"/>
        <v>0.563859</v>
      </c>
      <c r="Z7" s="22"/>
      <c r="AA7" s="22"/>
      <c r="AB7" s="22"/>
      <c r="AC7" s="23"/>
      <c r="AD7" s="24">
        <v>2030</v>
      </c>
      <c r="AE7" s="22"/>
      <c r="AF7" s="22"/>
      <c r="AG7" s="22"/>
      <c r="AH7" s="23"/>
      <c r="AI7" s="26">
        <v>2047</v>
      </c>
      <c r="AJ7" s="22"/>
      <c r="AK7" s="22"/>
      <c r="AL7" s="22"/>
      <c r="AM7" s="23"/>
      <c r="AN7" s="26">
        <v>2127</v>
      </c>
      <c r="AO7" s="22"/>
      <c r="AP7" s="22"/>
      <c r="AQ7" s="22"/>
      <c r="AR7" s="23"/>
      <c r="AS7" s="26" t="s">
        <v>104</v>
      </c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436</v>
      </c>
      <c r="F8" s="22"/>
      <c r="G8" s="22"/>
      <c r="H8" s="22"/>
      <c r="I8" s="23"/>
      <c r="J8" s="32">
        <f t="shared" si="0"/>
        <v>0.54500000000000004</v>
      </c>
      <c r="K8" s="22"/>
      <c r="L8" s="22"/>
      <c r="M8" s="22"/>
      <c r="N8" s="23"/>
      <c r="O8" s="32">
        <v>2019</v>
      </c>
      <c r="P8" s="22"/>
      <c r="Q8" s="22"/>
      <c r="R8" s="22"/>
      <c r="S8" s="23"/>
      <c r="T8" s="24">
        <v>436</v>
      </c>
      <c r="U8" s="22"/>
      <c r="V8" s="22"/>
      <c r="W8" s="22"/>
      <c r="X8" s="23"/>
      <c r="Y8" s="24">
        <f t="shared" si="1"/>
        <v>0.58118800000000004</v>
      </c>
      <c r="Z8" s="22"/>
      <c r="AA8" s="22"/>
      <c r="AB8" s="22"/>
      <c r="AC8" s="23"/>
      <c r="AD8" s="24">
        <v>2033</v>
      </c>
      <c r="AE8" s="22"/>
      <c r="AF8" s="22"/>
      <c r="AG8" s="22"/>
      <c r="AH8" s="23"/>
      <c r="AI8" s="26">
        <v>2048</v>
      </c>
      <c r="AJ8" s="22"/>
      <c r="AK8" s="22"/>
      <c r="AL8" s="22"/>
      <c r="AM8" s="23"/>
      <c r="AN8" s="26">
        <v>2128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289</v>
      </c>
      <c r="F9" s="22"/>
      <c r="G9" s="22"/>
      <c r="H9" s="22"/>
      <c r="I9" s="23"/>
      <c r="J9" s="32">
        <f t="shared" si="0"/>
        <v>0.36125000000000002</v>
      </c>
      <c r="K9" s="22"/>
      <c r="L9" s="22"/>
      <c r="M9" s="22"/>
      <c r="N9" s="23"/>
      <c r="O9" s="32">
        <v>2022</v>
      </c>
      <c r="P9" s="22"/>
      <c r="Q9" s="22"/>
      <c r="R9" s="22"/>
      <c r="S9" s="23"/>
      <c r="T9" s="24">
        <v>289</v>
      </c>
      <c r="U9" s="22"/>
      <c r="V9" s="22"/>
      <c r="W9" s="22"/>
      <c r="X9" s="23"/>
      <c r="Y9" s="24">
        <f t="shared" si="1"/>
        <v>0.385237</v>
      </c>
      <c r="Z9" s="22"/>
      <c r="AA9" s="22"/>
      <c r="AB9" s="22"/>
      <c r="AC9" s="23"/>
      <c r="AD9" s="24">
        <v>2034</v>
      </c>
      <c r="AE9" s="22"/>
      <c r="AF9" s="22"/>
      <c r="AG9" s="22"/>
      <c r="AH9" s="23"/>
      <c r="AI9" s="26">
        <v>2049</v>
      </c>
      <c r="AJ9" s="22"/>
      <c r="AK9" s="22"/>
      <c r="AL9" s="22"/>
      <c r="AM9" s="23"/>
      <c r="AN9" s="26">
        <v>2129</v>
      </c>
      <c r="AO9" s="22"/>
      <c r="AP9" s="22"/>
      <c r="AQ9" s="22"/>
      <c r="AR9" s="23"/>
      <c r="AS9" s="26" t="s">
        <v>105</v>
      </c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444</v>
      </c>
      <c r="F10" s="22"/>
      <c r="G10" s="22"/>
      <c r="H10" s="22"/>
      <c r="I10" s="23"/>
      <c r="J10" s="32">
        <f t="shared" si="0"/>
        <v>0.55500000000000005</v>
      </c>
      <c r="K10" s="22"/>
      <c r="L10" s="22"/>
      <c r="M10" s="22"/>
      <c r="N10" s="23"/>
      <c r="O10" s="32">
        <v>1655</v>
      </c>
      <c r="P10" s="22"/>
      <c r="Q10" s="22"/>
      <c r="R10" s="22"/>
      <c r="S10" s="23"/>
      <c r="T10" s="24">
        <v>444</v>
      </c>
      <c r="U10" s="22"/>
      <c r="V10" s="22"/>
      <c r="W10" s="22"/>
      <c r="X10" s="23"/>
      <c r="Y10" s="24">
        <f t="shared" si="1"/>
        <v>0.59185200000000004</v>
      </c>
      <c r="Z10" s="22"/>
      <c r="AA10" s="22"/>
      <c r="AB10" s="22"/>
      <c r="AC10" s="23"/>
      <c r="AD10" s="24">
        <v>1715</v>
      </c>
      <c r="AE10" s="22"/>
      <c r="AF10" s="22"/>
      <c r="AG10" s="22"/>
      <c r="AH10" s="23"/>
      <c r="AI10" s="26">
        <v>1727</v>
      </c>
      <c r="AJ10" s="22"/>
      <c r="AK10" s="22"/>
      <c r="AL10" s="22"/>
      <c r="AM10" s="23"/>
      <c r="AN10" s="26">
        <v>1807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443</v>
      </c>
      <c r="F11" s="22"/>
      <c r="G11" s="22"/>
      <c r="H11" s="22"/>
      <c r="I11" s="23"/>
      <c r="J11" s="32">
        <f t="shared" si="0"/>
        <v>0.55374999999999996</v>
      </c>
      <c r="K11" s="22"/>
      <c r="L11" s="22"/>
      <c r="M11" s="22"/>
      <c r="N11" s="23"/>
      <c r="O11" s="32">
        <v>1757</v>
      </c>
      <c r="P11" s="22"/>
      <c r="Q11" s="22"/>
      <c r="R11" s="22"/>
      <c r="S11" s="23"/>
      <c r="T11" s="36">
        <v>443</v>
      </c>
      <c r="U11" s="22"/>
      <c r="V11" s="22"/>
      <c r="W11" s="22"/>
      <c r="X11" s="23"/>
      <c r="Y11" s="24">
        <f t="shared" si="1"/>
        <v>0.59051900000000002</v>
      </c>
      <c r="Z11" s="22"/>
      <c r="AA11" s="22"/>
      <c r="AB11" s="22"/>
      <c r="AC11" s="23"/>
      <c r="AD11" s="24">
        <v>1824</v>
      </c>
      <c r="AE11" s="22"/>
      <c r="AF11" s="22"/>
      <c r="AG11" s="22"/>
      <c r="AH11" s="23"/>
      <c r="AI11" s="26">
        <v>1843</v>
      </c>
      <c r="AJ11" s="22"/>
      <c r="AK11" s="22"/>
      <c r="AL11" s="22"/>
      <c r="AM11" s="23"/>
      <c r="AN11" s="26">
        <v>1928</v>
      </c>
      <c r="AO11" s="22"/>
      <c r="AP11" s="22"/>
      <c r="AQ11" s="22"/>
      <c r="AR11" s="23"/>
      <c r="AS11" s="26"/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450</v>
      </c>
      <c r="F12" s="22"/>
      <c r="G12" s="22"/>
      <c r="H12" s="22"/>
      <c r="I12" s="23"/>
      <c r="J12" s="32">
        <f t="shared" si="0"/>
        <v>0.5625</v>
      </c>
      <c r="K12" s="22"/>
      <c r="L12" s="22"/>
      <c r="M12" s="22"/>
      <c r="N12" s="23"/>
      <c r="O12" s="32">
        <v>1800</v>
      </c>
      <c r="P12" s="22"/>
      <c r="Q12" s="22"/>
      <c r="R12" s="22"/>
      <c r="S12" s="23"/>
      <c r="T12" s="36">
        <v>450</v>
      </c>
      <c r="U12" s="22"/>
      <c r="V12" s="22"/>
      <c r="W12" s="22"/>
      <c r="X12" s="23"/>
      <c r="Y12" s="24">
        <f t="shared" si="1"/>
        <v>0.59984999999999999</v>
      </c>
      <c r="Z12" s="22"/>
      <c r="AA12" s="22"/>
      <c r="AB12" s="22"/>
      <c r="AC12" s="23"/>
      <c r="AD12" s="24">
        <v>1826</v>
      </c>
      <c r="AE12" s="22"/>
      <c r="AF12" s="22"/>
      <c r="AG12" s="22"/>
      <c r="AH12" s="23"/>
      <c r="AI12" s="26">
        <v>1844</v>
      </c>
      <c r="AJ12" s="22"/>
      <c r="AK12" s="22"/>
      <c r="AL12" s="22"/>
      <c r="AM12" s="23"/>
      <c r="AN12" s="26">
        <v>1929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515</v>
      </c>
      <c r="F13" s="22"/>
      <c r="G13" s="22"/>
      <c r="H13" s="22"/>
      <c r="I13" s="23"/>
      <c r="J13" s="32">
        <f t="shared" si="0"/>
        <v>0.64375000000000004</v>
      </c>
      <c r="K13" s="22"/>
      <c r="L13" s="22"/>
      <c r="M13" s="22"/>
      <c r="N13" s="23"/>
      <c r="O13" s="32">
        <v>1802</v>
      </c>
      <c r="P13" s="22"/>
      <c r="Q13" s="22"/>
      <c r="R13" s="22"/>
      <c r="S13" s="23"/>
      <c r="T13" s="36">
        <v>515</v>
      </c>
      <c r="U13" s="22"/>
      <c r="V13" s="22"/>
      <c r="W13" s="22"/>
      <c r="X13" s="23"/>
      <c r="Y13" s="24">
        <f t="shared" si="1"/>
        <v>0.68649499999999997</v>
      </c>
      <c r="Z13" s="22"/>
      <c r="AA13" s="22"/>
      <c r="AB13" s="22"/>
      <c r="AC13" s="23"/>
      <c r="AD13" s="24">
        <v>1828</v>
      </c>
      <c r="AE13" s="22"/>
      <c r="AF13" s="22"/>
      <c r="AG13" s="22"/>
      <c r="AH13" s="23"/>
      <c r="AI13" s="26">
        <v>1845</v>
      </c>
      <c r="AJ13" s="22"/>
      <c r="AK13" s="22"/>
      <c r="AL13" s="22"/>
      <c r="AM13" s="23"/>
      <c r="AN13" s="26">
        <v>1930</v>
      </c>
      <c r="AO13" s="22"/>
      <c r="AP13" s="22"/>
      <c r="AQ13" s="22"/>
      <c r="AR13" s="23"/>
      <c r="AS13" s="26"/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289</v>
      </c>
      <c r="F14" s="22"/>
      <c r="G14" s="22"/>
      <c r="H14" s="22"/>
      <c r="I14" s="23"/>
      <c r="J14" s="32">
        <f t="shared" si="0"/>
        <v>0.36125000000000002</v>
      </c>
      <c r="K14" s="22"/>
      <c r="L14" s="22"/>
      <c r="M14" s="22"/>
      <c r="N14" s="23"/>
      <c r="O14" s="32">
        <v>1805</v>
      </c>
      <c r="P14" s="22"/>
      <c r="Q14" s="22"/>
      <c r="R14" s="22"/>
      <c r="S14" s="23"/>
      <c r="T14" s="24">
        <v>289</v>
      </c>
      <c r="U14" s="22"/>
      <c r="V14" s="22"/>
      <c r="W14" s="22"/>
      <c r="X14" s="23"/>
      <c r="Y14" s="24">
        <f t="shared" si="1"/>
        <v>0.385237</v>
      </c>
      <c r="Z14" s="22"/>
      <c r="AA14" s="22"/>
      <c r="AB14" s="22"/>
      <c r="AC14" s="23"/>
      <c r="AD14" s="24">
        <v>1630</v>
      </c>
      <c r="AE14" s="22"/>
      <c r="AF14" s="22"/>
      <c r="AG14" s="22"/>
      <c r="AH14" s="23"/>
      <c r="AI14" s="26">
        <v>1846</v>
      </c>
      <c r="AJ14" s="22"/>
      <c r="AK14" s="22"/>
      <c r="AL14" s="22"/>
      <c r="AM14" s="23"/>
      <c r="AN14" s="26">
        <v>1931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271</v>
      </c>
      <c r="F15" s="22"/>
      <c r="G15" s="22"/>
      <c r="H15" s="22"/>
      <c r="I15" s="23"/>
      <c r="J15" s="32">
        <f t="shared" si="0"/>
        <v>0.33875</v>
      </c>
      <c r="K15" s="22"/>
      <c r="L15" s="22"/>
      <c r="M15" s="22"/>
      <c r="N15" s="23"/>
      <c r="O15" s="32">
        <v>1807</v>
      </c>
      <c r="P15" s="22"/>
      <c r="Q15" s="22"/>
      <c r="R15" s="22"/>
      <c r="S15" s="23"/>
      <c r="T15" s="24">
        <v>271</v>
      </c>
      <c r="U15" s="22"/>
      <c r="V15" s="22"/>
      <c r="W15" s="22"/>
      <c r="X15" s="23"/>
      <c r="Y15" s="24">
        <f t="shared" si="1"/>
        <v>0.36124299999999998</v>
      </c>
      <c r="Z15" s="22"/>
      <c r="AA15" s="22"/>
      <c r="AB15" s="22"/>
      <c r="AC15" s="23"/>
      <c r="AD15" s="24">
        <v>1836</v>
      </c>
      <c r="AE15" s="22"/>
      <c r="AF15" s="22"/>
      <c r="AG15" s="22"/>
      <c r="AH15" s="23"/>
      <c r="AI15" s="26">
        <v>1847</v>
      </c>
      <c r="AJ15" s="22"/>
      <c r="AK15" s="22"/>
      <c r="AL15" s="22"/>
      <c r="AM15" s="23"/>
      <c r="AN15" s="26">
        <v>1932</v>
      </c>
      <c r="AO15" s="22"/>
      <c r="AP15" s="22"/>
      <c r="AQ15" s="22"/>
      <c r="AR15" s="23"/>
      <c r="AS15" s="26"/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449</v>
      </c>
      <c r="F16" s="22"/>
      <c r="G16" s="22"/>
      <c r="H16" s="22"/>
      <c r="I16" s="23"/>
      <c r="J16" s="32">
        <f t="shared" si="0"/>
        <v>0.56125000000000003</v>
      </c>
      <c r="K16" s="22"/>
      <c r="L16" s="22"/>
      <c r="M16" s="22"/>
      <c r="N16" s="23"/>
      <c r="O16" s="32">
        <v>1912</v>
      </c>
      <c r="P16" s="22"/>
      <c r="Q16" s="22"/>
      <c r="R16" s="22"/>
      <c r="S16" s="23"/>
      <c r="T16" s="24">
        <v>449</v>
      </c>
      <c r="U16" s="22"/>
      <c r="V16" s="22"/>
      <c r="W16" s="22"/>
      <c r="X16" s="23"/>
      <c r="Y16" s="24">
        <f t="shared" si="1"/>
        <v>0.59851699999999997</v>
      </c>
      <c r="Z16" s="22"/>
      <c r="AA16" s="22"/>
      <c r="AB16" s="22"/>
      <c r="AC16" s="23"/>
      <c r="AD16" s="24">
        <v>1935</v>
      </c>
      <c r="AE16" s="22"/>
      <c r="AF16" s="22"/>
      <c r="AG16" s="22"/>
      <c r="AH16" s="23"/>
      <c r="AI16" s="26">
        <v>1955</v>
      </c>
      <c r="AJ16" s="22"/>
      <c r="AK16" s="22"/>
      <c r="AL16" s="22"/>
      <c r="AM16" s="23"/>
      <c r="AN16" s="26">
        <v>2035</v>
      </c>
      <c r="AO16" s="22"/>
      <c r="AP16" s="22"/>
      <c r="AQ16" s="22"/>
      <c r="AR16" s="23"/>
      <c r="AS16" s="26" t="s">
        <v>106</v>
      </c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226</v>
      </c>
      <c r="F17" s="22"/>
      <c r="G17" s="22"/>
      <c r="H17" s="22"/>
      <c r="I17" s="23"/>
      <c r="J17" s="32">
        <f t="shared" si="0"/>
        <v>0.28250000000000003</v>
      </c>
      <c r="K17" s="22"/>
      <c r="L17" s="22"/>
      <c r="M17" s="22"/>
      <c r="N17" s="23"/>
      <c r="O17" s="32">
        <v>1915</v>
      </c>
      <c r="P17" s="22"/>
      <c r="Q17" s="22"/>
      <c r="R17" s="22"/>
      <c r="S17" s="23"/>
      <c r="T17" s="24">
        <v>226</v>
      </c>
      <c r="U17" s="22"/>
      <c r="V17" s="22"/>
      <c r="W17" s="22"/>
      <c r="X17" s="23"/>
      <c r="Y17" s="24">
        <f t="shared" si="1"/>
        <v>0.30125799999999997</v>
      </c>
      <c r="Z17" s="22"/>
      <c r="AA17" s="22"/>
      <c r="AB17" s="22"/>
      <c r="AC17" s="23"/>
      <c r="AD17" s="24">
        <v>1937</v>
      </c>
      <c r="AE17" s="22"/>
      <c r="AF17" s="22"/>
      <c r="AG17" s="22"/>
      <c r="AH17" s="23"/>
      <c r="AI17" s="26">
        <v>1956</v>
      </c>
      <c r="AJ17" s="22"/>
      <c r="AK17" s="22"/>
      <c r="AL17" s="22"/>
      <c r="AM17" s="23"/>
      <c r="AN17" s="26">
        <v>2036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>
        <v>477</v>
      </c>
      <c r="F18" s="22"/>
      <c r="G18" s="22"/>
      <c r="H18" s="22"/>
      <c r="I18" s="23"/>
      <c r="J18" s="32">
        <f t="shared" ref="J18:J25" si="2">E18*0.0012</f>
        <v>0.57239999999999991</v>
      </c>
      <c r="K18" s="22"/>
      <c r="L18" s="22"/>
      <c r="M18" s="22"/>
      <c r="N18" s="23"/>
      <c r="O18" s="31">
        <v>1553</v>
      </c>
      <c r="P18" s="22"/>
      <c r="Q18" s="22"/>
      <c r="R18" s="22"/>
      <c r="S18" s="23"/>
      <c r="T18" s="25">
        <v>477</v>
      </c>
      <c r="U18" s="22"/>
      <c r="V18" s="22"/>
      <c r="W18" s="22"/>
      <c r="X18" s="23"/>
      <c r="Y18" s="24">
        <f t="shared" si="1"/>
        <v>0.63584099999999999</v>
      </c>
      <c r="Z18" s="22"/>
      <c r="AA18" s="22"/>
      <c r="AB18" s="22"/>
      <c r="AC18" s="23"/>
      <c r="AD18" s="25">
        <v>1612</v>
      </c>
      <c r="AE18" s="22"/>
      <c r="AF18" s="22"/>
      <c r="AG18" s="22"/>
      <c r="AH18" s="23"/>
      <c r="AI18" s="21">
        <v>1635</v>
      </c>
      <c r="AJ18" s="22"/>
      <c r="AK18" s="22"/>
      <c r="AL18" s="22"/>
      <c r="AM18" s="23"/>
      <c r="AN18" s="21">
        <v>1715</v>
      </c>
      <c r="AO18" s="22"/>
      <c r="AP18" s="22"/>
      <c r="AQ18" s="22"/>
      <c r="AR18" s="23"/>
      <c r="AS18" s="30" t="s">
        <v>107</v>
      </c>
      <c r="AT18" s="22"/>
      <c r="AU18" s="22"/>
      <c r="AV18" s="22"/>
      <c r="AW18" s="23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>
        <v>415</v>
      </c>
      <c r="F19" s="22"/>
      <c r="G19" s="22"/>
      <c r="H19" s="22"/>
      <c r="I19" s="23"/>
      <c r="J19" s="32">
        <f t="shared" si="2"/>
        <v>0.49799999999999994</v>
      </c>
      <c r="K19" s="22"/>
      <c r="L19" s="22"/>
      <c r="M19" s="22"/>
      <c r="N19" s="23"/>
      <c r="O19" s="31">
        <v>1555</v>
      </c>
      <c r="P19" s="22"/>
      <c r="Q19" s="22"/>
      <c r="R19" s="22"/>
      <c r="S19" s="23"/>
      <c r="T19" s="34">
        <v>415</v>
      </c>
      <c r="U19" s="22"/>
      <c r="V19" s="22"/>
      <c r="W19" s="22"/>
      <c r="X19" s="23"/>
      <c r="Y19" s="24">
        <f t="shared" si="1"/>
        <v>0.55319499999999999</v>
      </c>
      <c r="Z19" s="22"/>
      <c r="AA19" s="22"/>
      <c r="AB19" s="22"/>
      <c r="AC19" s="23"/>
      <c r="AD19" s="25">
        <v>1614</v>
      </c>
      <c r="AE19" s="22"/>
      <c r="AF19" s="22"/>
      <c r="AG19" s="22"/>
      <c r="AH19" s="23"/>
      <c r="AI19" s="21">
        <v>1636</v>
      </c>
      <c r="AJ19" s="22"/>
      <c r="AK19" s="22"/>
      <c r="AL19" s="22"/>
      <c r="AM19" s="23"/>
      <c r="AN19" s="21">
        <v>1716</v>
      </c>
      <c r="AO19" s="22"/>
      <c r="AP19" s="22"/>
      <c r="AQ19" s="22"/>
      <c r="AR19" s="23"/>
      <c r="AS19" s="30" t="s">
        <v>108</v>
      </c>
      <c r="AT19" s="22"/>
      <c r="AU19" s="22"/>
      <c r="AV19" s="22"/>
      <c r="AW19" s="23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>
        <v>262</v>
      </c>
      <c r="F20" s="22"/>
      <c r="G20" s="22"/>
      <c r="H20" s="22"/>
      <c r="I20" s="23"/>
      <c r="J20" s="32">
        <f t="shared" si="2"/>
        <v>0.31439999999999996</v>
      </c>
      <c r="K20" s="22"/>
      <c r="L20" s="22"/>
      <c r="M20" s="22"/>
      <c r="N20" s="23"/>
      <c r="O20" s="31">
        <v>1552</v>
      </c>
      <c r="P20" s="22"/>
      <c r="Q20" s="22"/>
      <c r="R20" s="22"/>
      <c r="S20" s="23"/>
      <c r="T20" s="34">
        <v>262</v>
      </c>
      <c r="U20" s="22"/>
      <c r="V20" s="22"/>
      <c r="W20" s="22"/>
      <c r="X20" s="23"/>
      <c r="Y20" s="24">
        <f t="shared" si="1"/>
        <v>0.349246</v>
      </c>
      <c r="Z20" s="22"/>
      <c r="AA20" s="22"/>
      <c r="AB20" s="22"/>
      <c r="AC20" s="23"/>
      <c r="AD20" s="25">
        <v>1607</v>
      </c>
      <c r="AE20" s="22"/>
      <c r="AF20" s="22"/>
      <c r="AG20" s="22"/>
      <c r="AH20" s="23"/>
      <c r="AI20" s="21">
        <v>1637</v>
      </c>
      <c r="AJ20" s="22"/>
      <c r="AK20" s="22"/>
      <c r="AL20" s="22"/>
      <c r="AM20" s="23"/>
      <c r="AN20" s="21">
        <v>1717</v>
      </c>
      <c r="AO20" s="22"/>
      <c r="AP20" s="22"/>
      <c r="AQ20" s="22"/>
      <c r="AR20" s="23"/>
      <c r="AS20" s="21"/>
      <c r="AT20" s="22"/>
      <c r="AU20" s="22"/>
      <c r="AV20" s="22"/>
      <c r="AW20" s="23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>
        <v>273</v>
      </c>
      <c r="F21" s="22"/>
      <c r="G21" s="22"/>
      <c r="H21" s="22"/>
      <c r="I21" s="23"/>
      <c r="J21" s="32">
        <f t="shared" si="2"/>
        <v>0.32759999999999995</v>
      </c>
      <c r="K21" s="22"/>
      <c r="L21" s="22"/>
      <c r="M21" s="22"/>
      <c r="N21" s="23"/>
      <c r="O21" s="31">
        <v>1558</v>
      </c>
      <c r="P21" s="22"/>
      <c r="Q21" s="22"/>
      <c r="R21" s="22"/>
      <c r="S21" s="23"/>
      <c r="T21" s="34">
        <v>273</v>
      </c>
      <c r="U21" s="22"/>
      <c r="V21" s="22"/>
      <c r="W21" s="22"/>
      <c r="X21" s="23"/>
      <c r="Y21" s="24">
        <f t="shared" si="1"/>
        <v>0.36390899999999998</v>
      </c>
      <c r="Z21" s="22"/>
      <c r="AA21" s="22"/>
      <c r="AB21" s="22"/>
      <c r="AC21" s="23"/>
      <c r="AD21" s="25">
        <v>1616</v>
      </c>
      <c r="AE21" s="22"/>
      <c r="AF21" s="22"/>
      <c r="AG21" s="22"/>
      <c r="AH21" s="23"/>
      <c r="AI21" s="21">
        <v>1638</v>
      </c>
      <c r="AJ21" s="22"/>
      <c r="AK21" s="22"/>
      <c r="AL21" s="22"/>
      <c r="AM21" s="23"/>
      <c r="AN21" s="21">
        <v>1718</v>
      </c>
      <c r="AO21" s="22"/>
      <c r="AP21" s="22"/>
      <c r="AQ21" s="22"/>
      <c r="AR21" s="23"/>
      <c r="AS21" s="21"/>
      <c r="AT21" s="22"/>
      <c r="AU21" s="22"/>
      <c r="AV21" s="22"/>
      <c r="AW21" s="23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>
        <v>288</v>
      </c>
      <c r="F22" s="22"/>
      <c r="G22" s="22"/>
      <c r="H22" s="22"/>
      <c r="I22" s="23"/>
      <c r="J22" s="32">
        <f t="shared" si="2"/>
        <v>0.34559999999999996</v>
      </c>
      <c r="K22" s="22"/>
      <c r="L22" s="22"/>
      <c r="M22" s="22"/>
      <c r="N22" s="23"/>
      <c r="O22" s="31">
        <v>1642</v>
      </c>
      <c r="P22" s="22"/>
      <c r="Q22" s="22"/>
      <c r="R22" s="22"/>
      <c r="S22" s="23"/>
      <c r="T22" s="25">
        <v>288</v>
      </c>
      <c r="U22" s="22"/>
      <c r="V22" s="22"/>
      <c r="W22" s="22"/>
      <c r="X22" s="23"/>
      <c r="Y22" s="24">
        <f t="shared" si="1"/>
        <v>0.38390400000000002</v>
      </c>
      <c r="Z22" s="22"/>
      <c r="AA22" s="22"/>
      <c r="AB22" s="22"/>
      <c r="AC22" s="23"/>
      <c r="AD22" s="25">
        <v>1700</v>
      </c>
      <c r="AE22" s="22"/>
      <c r="AF22" s="22"/>
      <c r="AG22" s="22"/>
      <c r="AH22" s="23"/>
      <c r="AI22" s="21">
        <v>1723</v>
      </c>
      <c r="AJ22" s="22"/>
      <c r="AK22" s="22"/>
      <c r="AL22" s="22"/>
      <c r="AM22" s="23"/>
      <c r="AN22" s="21">
        <v>1803</v>
      </c>
      <c r="AO22" s="22"/>
      <c r="AP22" s="22"/>
      <c r="AQ22" s="22"/>
      <c r="AR22" s="23"/>
      <c r="AS22" s="21"/>
      <c r="AT22" s="22"/>
      <c r="AU22" s="22"/>
      <c r="AV22" s="22"/>
      <c r="AW22" s="23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>
        <v>274</v>
      </c>
      <c r="F23" s="22"/>
      <c r="G23" s="22"/>
      <c r="H23" s="22"/>
      <c r="I23" s="23"/>
      <c r="J23" s="32">
        <f t="shared" si="2"/>
        <v>0.32879999999999998</v>
      </c>
      <c r="K23" s="22"/>
      <c r="L23" s="22"/>
      <c r="M23" s="22"/>
      <c r="N23" s="23"/>
      <c r="O23" s="31">
        <v>1645</v>
      </c>
      <c r="P23" s="22"/>
      <c r="Q23" s="22"/>
      <c r="R23" s="22"/>
      <c r="S23" s="23"/>
      <c r="T23" s="25">
        <v>274</v>
      </c>
      <c r="U23" s="22"/>
      <c r="V23" s="22"/>
      <c r="W23" s="22"/>
      <c r="X23" s="23"/>
      <c r="Y23" s="24">
        <f t="shared" si="1"/>
        <v>0.36524200000000001</v>
      </c>
      <c r="Z23" s="22"/>
      <c r="AA23" s="22"/>
      <c r="AB23" s="22"/>
      <c r="AC23" s="23"/>
      <c r="AD23" s="25">
        <v>1705</v>
      </c>
      <c r="AE23" s="22"/>
      <c r="AF23" s="22"/>
      <c r="AG23" s="22"/>
      <c r="AH23" s="23"/>
      <c r="AI23" s="21">
        <v>1724</v>
      </c>
      <c r="AJ23" s="22"/>
      <c r="AK23" s="22"/>
      <c r="AL23" s="22"/>
      <c r="AM23" s="23"/>
      <c r="AN23" s="21">
        <v>1804</v>
      </c>
      <c r="AO23" s="22"/>
      <c r="AP23" s="22"/>
      <c r="AQ23" s="22"/>
      <c r="AR23" s="23"/>
      <c r="AS23" s="30" t="s">
        <v>109</v>
      </c>
      <c r="AT23" s="22"/>
      <c r="AU23" s="22"/>
      <c r="AV23" s="22"/>
      <c r="AW23" s="23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>
        <v>409</v>
      </c>
      <c r="F24" s="22"/>
      <c r="G24" s="22"/>
      <c r="H24" s="22"/>
      <c r="I24" s="23"/>
      <c r="J24" s="32">
        <f t="shared" si="2"/>
        <v>0.49079999999999996</v>
      </c>
      <c r="K24" s="22"/>
      <c r="L24" s="22"/>
      <c r="M24" s="22"/>
      <c r="N24" s="23"/>
      <c r="O24" s="31">
        <v>1647</v>
      </c>
      <c r="P24" s="22"/>
      <c r="Q24" s="22"/>
      <c r="R24" s="22"/>
      <c r="S24" s="23"/>
      <c r="T24" s="25">
        <v>409</v>
      </c>
      <c r="U24" s="22"/>
      <c r="V24" s="22"/>
      <c r="W24" s="22"/>
      <c r="X24" s="23"/>
      <c r="Y24" s="24">
        <f t="shared" si="1"/>
        <v>0.54519700000000004</v>
      </c>
      <c r="Z24" s="22"/>
      <c r="AA24" s="22"/>
      <c r="AB24" s="22"/>
      <c r="AC24" s="23"/>
      <c r="AD24" s="25">
        <v>1707</v>
      </c>
      <c r="AE24" s="22"/>
      <c r="AF24" s="22"/>
      <c r="AG24" s="22"/>
      <c r="AH24" s="23"/>
      <c r="AI24" s="21">
        <v>1725</v>
      </c>
      <c r="AJ24" s="22"/>
      <c r="AK24" s="22"/>
      <c r="AL24" s="22"/>
      <c r="AM24" s="23"/>
      <c r="AN24" s="21">
        <v>1805</v>
      </c>
      <c r="AO24" s="22"/>
      <c r="AP24" s="22"/>
      <c r="AQ24" s="22"/>
      <c r="AR24" s="23"/>
      <c r="AS24" s="21"/>
      <c r="AT24" s="22"/>
      <c r="AU24" s="22"/>
      <c r="AV24" s="22"/>
      <c r="AW24" s="23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>
        <v>276</v>
      </c>
      <c r="F25" s="22"/>
      <c r="G25" s="22"/>
      <c r="H25" s="22"/>
      <c r="I25" s="23"/>
      <c r="J25" s="32">
        <f t="shared" si="2"/>
        <v>0.33119999999999999</v>
      </c>
      <c r="K25" s="22"/>
      <c r="L25" s="22"/>
      <c r="M25" s="22"/>
      <c r="N25" s="23"/>
      <c r="O25" s="31">
        <v>1651</v>
      </c>
      <c r="P25" s="22"/>
      <c r="Q25" s="22"/>
      <c r="R25" s="22"/>
      <c r="S25" s="23"/>
      <c r="T25" s="25">
        <v>276</v>
      </c>
      <c r="U25" s="22"/>
      <c r="V25" s="22"/>
      <c r="W25" s="22"/>
      <c r="X25" s="23"/>
      <c r="Y25" s="24">
        <f t="shared" si="1"/>
        <v>0.36790800000000001</v>
      </c>
      <c r="Z25" s="22"/>
      <c r="AA25" s="22"/>
      <c r="AB25" s="22"/>
      <c r="AC25" s="23"/>
      <c r="AD25" s="25">
        <v>1710</v>
      </c>
      <c r="AE25" s="22"/>
      <c r="AF25" s="22"/>
      <c r="AG25" s="22"/>
      <c r="AH25" s="23"/>
      <c r="AI25" s="21">
        <v>1726</v>
      </c>
      <c r="AJ25" s="22"/>
      <c r="AK25" s="22"/>
      <c r="AL25" s="22"/>
      <c r="AM25" s="23"/>
      <c r="AN25" s="21">
        <v>1806</v>
      </c>
      <c r="AO25" s="22"/>
      <c r="AP25" s="22"/>
      <c r="AQ25" s="22"/>
      <c r="AR25" s="23"/>
      <c r="AS25" s="30" t="s">
        <v>103</v>
      </c>
      <c r="AT25" s="22"/>
      <c r="AU25" s="22"/>
      <c r="AV25" s="22"/>
      <c r="AW25" s="23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285</v>
      </c>
      <c r="F26" s="22"/>
      <c r="G26" s="22"/>
      <c r="H26" s="22"/>
      <c r="I26" s="23"/>
      <c r="J26" s="32">
        <f t="shared" ref="J26:J39" si="3">E26*0.00125</f>
        <v>0.35625000000000001</v>
      </c>
      <c r="K26" s="22"/>
      <c r="L26" s="22"/>
      <c r="M26" s="22"/>
      <c r="N26" s="23"/>
      <c r="O26" s="31">
        <v>1137</v>
      </c>
      <c r="P26" s="22"/>
      <c r="Q26" s="22"/>
      <c r="R26" s="22"/>
      <c r="S26" s="23"/>
      <c r="T26" s="25">
        <v>285</v>
      </c>
      <c r="U26" s="22"/>
      <c r="V26" s="22"/>
      <c r="W26" s="22"/>
      <c r="X26" s="23"/>
      <c r="Y26" s="24">
        <f t="shared" si="1"/>
        <v>0.37990499999999999</v>
      </c>
      <c r="Z26" s="22"/>
      <c r="AA26" s="22"/>
      <c r="AB26" s="22"/>
      <c r="AC26" s="23"/>
      <c r="AD26" s="25">
        <v>1356</v>
      </c>
      <c r="AE26" s="22"/>
      <c r="AF26" s="22"/>
      <c r="AG26" s="22"/>
      <c r="AH26" s="23"/>
      <c r="AI26" s="21">
        <v>1409</v>
      </c>
      <c r="AJ26" s="22"/>
      <c r="AK26" s="22"/>
      <c r="AL26" s="22"/>
      <c r="AM26" s="23"/>
      <c r="AN26" s="21">
        <v>1449</v>
      </c>
      <c r="AO26" s="22"/>
      <c r="AP26" s="22"/>
      <c r="AQ26" s="22"/>
      <c r="AR26" s="23"/>
      <c r="AS26" s="21"/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275</v>
      </c>
      <c r="F27" s="22"/>
      <c r="G27" s="22"/>
      <c r="H27" s="22"/>
      <c r="I27" s="23"/>
      <c r="J27" s="32">
        <f t="shared" si="3"/>
        <v>0.34375</v>
      </c>
      <c r="K27" s="22"/>
      <c r="L27" s="22"/>
      <c r="M27" s="22"/>
      <c r="N27" s="23"/>
      <c r="O27" s="31">
        <v>1413</v>
      </c>
      <c r="P27" s="22"/>
      <c r="Q27" s="22"/>
      <c r="R27" s="22"/>
      <c r="S27" s="23"/>
      <c r="T27" s="34">
        <v>275</v>
      </c>
      <c r="U27" s="22"/>
      <c r="V27" s="22"/>
      <c r="W27" s="22"/>
      <c r="X27" s="23"/>
      <c r="Y27" s="24">
        <f t="shared" si="1"/>
        <v>0.36657499999999998</v>
      </c>
      <c r="Z27" s="22"/>
      <c r="AA27" s="22"/>
      <c r="AB27" s="22"/>
      <c r="AC27" s="23"/>
      <c r="AD27" s="25">
        <v>1436</v>
      </c>
      <c r="AE27" s="22"/>
      <c r="AF27" s="22"/>
      <c r="AG27" s="22"/>
      <c r="AH27" s="23"/>
      <c r="AI27" s="21">
        <v>1455</v>
      </c>
      <c r="AJ27" s="22"/>
      <c r="AK27" s="22"/>
      <c r="AL27" s="22"/>
      <c r="AM27" s="23"/>
      <c r="AN27" s="21">
        <v>1535</v>
      </c>
      <c r="AO27" s="22"/>
      <c r="AP27" s="22"/>
      <c r="AQ27" s="22"/>
      <c r="AR27" s="23"/>
      <c r="AS27" s="21"/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278</v>
      </c>
      <c r="F28" s="22"/>
      <c r="G28" s="22"/>
      <c r="H28" s="22"/>
      <c r="I28" s="23"/>
      <c r="J28" s="32">
        <f t="shared" si="3"/>
        <v>0.34750000000000003</v>
      </c>
      <c r="K28" s="22"/>
      <c r="L28" s="22"/>
      <c r="M28" s="22"/>
      <c r="N28" s="23"/>
      <c r="O28" s="31">
        <v>1415</v>
      </c>
      <c r="P28" s="22"/>
      <c r="Q28" s="22"/>
      <c r="R28" s="22"/>
      <c r="S28" s="23"/>
      <c r="T28" s="34">
        <v>278</v>
      </c>
      <c r="U28" s="22"/>
      <c r="V28" s="22"/>
      <c r="W28" s="22"/>
      <c r="X28" s="23"/>
      <c r="Y28" s="24">
        <f t="shared" si="1"/>
        <v>0.37057400000000001</v>
      </c>
      <c r="Z28" s="22"/>
      <c r="AA28" s="22"/>
      <c r="AB28" s="22"/>
      <c r="AC28" s="23"/>
      <c r="AD28" s="25">
        <v>1438</v>
      </c>
      <c r="AE28" s="22"/>
      <c r="AF28" s="22"/>
      <c r="AG28" s="22"/>
      <c r="AH28" s="23"/>
      <c r="AI28" s="21">
        <v>1456</v>
      </c>
      <c r="AJ28" s="22"/>
      <c r="AK28" s="22"/>
      <c r="AL28" s="22"/>
      <c r="AM28" s="23"/>
      <c r="AN28" s="21">
        <v>1536</v>
      </c>
      <c r="AO28" s="22"/>
      <c r="AP28" s="22"/>
      <c r="AQ28" s="22"/>
      <c r="AR28" s="23"/>
      <c r="AS28" s="21"/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262</v>
      </c>
      <c r="F29" s="22"/>
      <c r="G29" s="22"/>
      <c r="H29" s="22"/>
      <c r="I29" s="23"/>
      <c r="J29" s="32">
        <f t="shared" si="3"/>
        <v>0.32750000000000001</v>
      </c>
      <c r="K29" s="22"/>
      <c r="L29" s="22"/>
      <c r="M29" s="22"/>
      <c r="N29" s="23"/>
      <c r="O29" s="31">
        <v>1418</v>
      </c>
      <c r="P29" s="22"/>
      <c r="Q29" s="22"/>
      <c r="R29" s="22"/>
      <c r="S29" s="23"/>
      <c r="T29" s="34">
        <v>262</v>
      </c>
      <c r="U29" s="22"/>
      <c r="V29" s="22"/>
      <c r="W29" s="22"/>
      <c r="X29" s="23"/>
      <c r="Y29" s="24">
        <f t="shared" si="1"/>
        <v>0.349246</v>
      </c>
      <c r="Z29" s="22"/>
      <c r="AA29" s="22"/>
      <c r="AB29" s="22"/>
      <c r="AC29" s="23"/>
      <c r="AD29" s="25">
        <v>1442</v>
      </c>
      <c r="AE29" s="22"/>
      <c r="AF29" s="22"/>
      <c r="AG29" s="22"/>
      <c r="AH29" s="23"/>
      <c r="AI29" s="21">
        <v>1457</v>
      </c>
      <c r="AJ29" s="22"/>
      <c r="AK29" s="22"/>
      <c r="AL29" s="22"/>
      <c r="AM29" s="23"/>
      <c r="AN29" s="21">
        <v>1537</v>
      </c>
      <c r="AO29" s="22"/>
      <c r="AP29" s="22"/>
      <c r="AQ29" s="22"/>
      <c r="AR29" s="23"/>
      <c r="AS29" s="21"/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300</v>
      </c>
      <c r="F30" s="22"/>
      <c r="G30" s="22"/>
      <c r="H30" s="22"/>
      <c r="I30" s="23"/>
      <c r="J30" s="32">
        <f t="shared" si="3"/>
        <v>0.375</v>
      </c>
      <c r="K30" s="22"/>
      <c r="L30" s="22"/>
      <c r="M30" s="22"/>
      <c r="N30" s="23"/>
      <c r="O30" s="31">
        <v>1422</v>
      </c>
      <c r="P30" s="22"/>
      <c r="Q30" s="22"/>
      <c r="R30" s="22"/>
      <c r="S30" s="23"/>
      <c r="T30" s="25">
        <v>300</v>
      </c>
      <c r="U30" s="22"/>
      <c r="V30" s="22"/>
      <c r="W30" s="22"/>
      <c r="X30" s="23"/>
      <c r="Y30" s="24">
        <f t="shared" si="1"/>
        <v>0.39989999999999998</v>
      </c>
      <c r="Z30" s="22"/>
      <c r="AA30" s="22"/>
      <c r="AB30" s="22"/>
      <c r="AC30" s="23"/>
      <c r="AD30" s="25">
        <v>1445</v>
      </c>
      <c r="AE30" s="22"/>
      <c r="AF30" s="22"/>
      <c r="AG30" s="22"/>
      <c r="AH30" s="23"/>
      <c r="AI30" s="21">
        <v>1458</v>
      </c>
      <c r="AJ30" s="22"/>
      <c r="AK30" s="22"/>
      <c r="AL30" s="22"/>
      <c r="AM30" s="23"/>
      <c r="AN30" s="21">
        <v>1538</v>
      </c>
      <c r="AO30" s="22"/>
      <c r="AP30" s="22"/>
      <c r="AQ30" s="22"/>
      <c r="AR30" s="23"/>
      <c r="AS30" s="21"/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290</v>
      </c>
      <c r="F31" s="22"/>
      <c r="G31" s="22"/>
      <c r="H31" s="22"/>
      <c r="I31" s="23"/>
      <c r="J31" s="32">
        <f t="shared" si="3"/>
        <v>0.36249999999999999</v>
      </c>
      <c r="K31" s="22"/>
      <c r="L31" s="22"/>
      <c r="M31" s="22"/>
      <c r="N31" s="23"/>
      <c r="O31" s="31">
        <v>1625</v>
      </c>
      <c r="P31" s="22"/>
      <c r="Q31" s="22"/>
      <c r="R31" s="22"/>
      <c r="S31" s="23"/>
      <c r="T31" s="25">
        <v>290</v>
      </c>
      <c r="U31" s="22"/>
      <c r="V31" s="22"/>
      <c r="W31" s="22"/>
      <c r="X31" s="23"/>
      <c r="Y31" s="24">
        <f t="shared" si="1"/>
        <v>0.38656999999999997</v>
      </c>
      <c r="Z31" s="22"/>
      <c r="AA31" s="22"/>
      <c r="AB31" s="22"/>
      <c r="AC31" s="23"/>
      <c r="AD31" s="25">
        <v>1446</v>
      </c>
      <c r="AE31" s="22"/>
      <c r="AF31" s="22"/>
      <c r="AG31" s="22"/>
      <c r="AH31" s="23"/>
      <c r="AI31" s="21">
        <v>1459</v>
      </c>
      <c r="AJ31" s="22"/>
      <c r="AK31" s="22"/>
      <c r="AL31" s="22"/>
      <c r="AM31" s="23"/>
      <c r="AN31" s="21">
        <v>1539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296</v>
      </c>
      <c r="F32" s="22"/>
      <c r="G32" s="22"/>
      <c r="H32" s="22"/>
      <c r="I32" s="23"/>
      <c r="J32" s="32">
        <f t="shared" si="3"/>
        <v>0.37</v>
      </c>
      <c r="K32" s="22"/>
      <c r="L32" s="22"/>
      <c r="M32" s="22"/>
      <c r="N32" s="23"/>
      <c r="O32" s="31">
        <v>1543</v>
      </c>
      <c r="P32" s="22"/>
      <c r="Q32" s="22"/>
      <c r="R32" s="22"/>
      <c r="S32" s="23"/>
      <c r="T32" s="25">
        <v>296</v>
      </c>
      <c r="U32" s="22"/>
      <c r="V32" s="22"/>
      <c r="W32" s="22"/>
      <c r="X32" s="23"/>
      <c r="Y32" s="24">
        <f t="shared" si="1"/>
        <v>0.39456799999999997</v>
      </c>
      <c r="Z32" s="22"/>
      <c r="AA32" s="22"/>
      <c r="AB32" s="22"/>
      <c r="AC32" s="23"/>
      <c r="AD32" s="25">
        <v>1600</v>
      </c>
      <c r="AE32" s="22"/>
      <c r="AF32" s="22"/>
      <c r="AG32" s="22"/>
      <c r="AH32" s="23"/>
      <c r="AI32" s="21">
        <v>1634</v>
      </c>
      <c r="AJ32" s="22"/>
      <c r="AK32" s="22"/>
      <c r="AL32" s="22"/>
      <c r="AM32" s="23"/>
      <c r="AN32" s="21">
        <v>1714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413</v>
      </c>
      <c r="F33" s="22"/>
      <c r="G33" s="22"/>
      <c r="H33" s="22"/>
      <c r="I33" s="23"/>
      <c r="J33" s="32">
        <f t="shared" si="3"/>
        <v>0.51624999999999999</v>
      </c>
      <c r="K33" s="22"/>
      <c r="L33" s="22"/>
      <c r="M33" s="22"/>
      <c r="N33" s="23"/>
      <c r="O33" s="31">
        <v>1225</v>
      </c>
      <c r="P33" s="22"/>
      <c r="Q33" s="22"/>
      <c r="R33" s="22"/>
      <c r="S33" s="23"/>
      <c r="T33" s="25">
        <v>413</v>
      </c>
      <c r="U33" s="22"/>
      <c r="V33" s="22"/>
      <c r="W33" s="22"/>
      <c r="X33" s="23"/>
      <c r="Y33" s="24">
        <f t="shared" si="1"/>
        <v>0.55052900000000005</v>
      </c>
      <c r="Z33" s="22"/>
      <c r="AA33" s="22"/>
      <c r="AB33" s="22"/>
      <c r="AC33" s="23"/>
      <c r="AD33" s="25">
        <v>1237</v>
      </c>
      <c r="AE33" s="22"/>
      <c r="AF33" s="22"/>
      <c r="AG33" s="22"/>
      <c r="AH33" s="23"/>
      <c r="AI33" s="21">
        <v>1301</v>
      </c>
      <c r="AJ33" s="22"/>
      <c r="AK33" s="22"/>
      <c r="AL33" s="22"/>
      <c r="AM33" s="23"/>
      <c r="AN33" s="21">
        <v>1341</v>
      </c>
      <c r="AO33" s="22"/>
      <c r="AP33" s="22"/>
      <c r="AQ33" s="22"/>
      <c r="AR33" s="23"/>
      <c r="AS33" s="21"/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276</v>
      </c>
      <c r="F34" s="22"/>
      <c r="G34" s="22"/>
      <c r="H34" s="22"/>
      <c r="I34" s="23"/>
      <c r="J34" s="32">
        <f t="shared" si="3"/>
        <v>0.34500000000000003</v>
      </c>
      <c r="K34" s="22"/>
      <c r="L34" s="22"/>
      <c r="M34" s="22"/>
      <c r="N34" s="23"/>
      <c r="O34" s="41">
        <v>1226</v>
      </c>
      <c r="P34" s="22"/>
      <c r="Q34" s="22"/>
      <c r="R34" s="22"/>
      <c r="S34" s="23"/>
      <c r="T34" s="34">
        <v>276</v>
      </c>
      <c r="U34" s="22"/>
      <c r="V34" s="22"/>
      <c r="W34" s="22"/>
      <c r="X34" s="23"/>
      <c r="Y34" s="24">
        <f t="shared" si="1"/>
        <v>0.36790800000000001</v>
      </c>
      <c r="Z34" s="22"/>
      <c r="AA34" s="22"/>
      <c r="AB34" s="22"/>
      <c r="AC34" s="23"/>
      <c r="AD34" s="25">
        <v>1239</v>
      </c>
      <c r="AE34" s="22"/>
      <c r="AF34" s="22"/>
      <c r="AG34" s="22"/>
      <c r="AH34" s="23"/>
      <c r="AI34" s="21">
        <v>1302</v>
      </c>
      <c r="AJ34" s="22"/>
      <c r="AK34" s="22"/>
      <c r="AL34" s="22"/>
      <c r="AM34" s="23"/>
      <c r="AN34" s="21">
        <v>1342</v>
      </c>
      <c r="AO34" s="22"/>
      <c r="AP34" s="22"/>
      <c r="AQ34" s="22"/>
      <c r="AR34" s="23"/>
      <c r="AS34" s="30" t="s">
        <v>110</v>
      </c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288</v>
      </c>
      <c r="F35" s="22"/>
      <c r="G35" s="22"/>
      <c r="H35" s="22"/>
      <c r="I35" s="23"/>
      <c r="J35" s="32">
        <f t="shared" si="3"/>
        <v>0.36</v>
      </c>
      <c r="K35" s="22"/>
      <c r="L35" s="22"/>
      <c r="M35" s="22"/>
      <c r="N35" s="23"/>
      <c r="O35" s="31">
        <v>1229</v>
      </c>
      <c r="P35" s="22"/>
      <c r="Q35" s="22"/>
      <c r="R35" s="22"/>
      <c r="S35" s="23"/>
      <c r="T35" s="34">
        <v>288</v>
      </c>
      <c r="U35" s="22"/>
      <c r="V35" s="22"/>
      <c r="W35" s="22"/>
      <c r="X35" s="23"/>
      <c r="Y35" s="24">
        <f t="shared" si="1"/>
        <v>0.38390400000000002</v>
      </c>
      <c r="Z35" s="22"/>
      <c r="AA35" s="22"/>
      <c r="AB35" s="22"/>
      <c r="AC35" s="23"/>
      <c r="AD35" s="25">
        <v>1241</v>
      </c>
      <c r="AE35" s="22"/>
      <c r="AF35" s="22"/>
      <c r="AG35" s="22"/>
      <c r="AH35" s="23"/>
      <c r="AI35" s="21">
        <v>1303</v>
      </c>
      <c r="AJ35" s="22"/>
      <c r="AK35" s="22"/>
      <c r="AL35" s="22"/>
      <c r="AM35" s="23"/>
      <c r="AN35" s="21">
        <v>1343</v>
      </c>
      <c r="AO35" s="22"/>
      <c r="AP35" s="22"/>
      <c r="AQ35" s="22"/>
      <c r="AR35" s="23"/>
      <c r="AS35" s="21"/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247</v>
      </c>
      <c r="F36" s="22"/>
      <c r="G36" s="22"/>
      <c r="H36" s="22"/>
      <c r="I36" s="23"/>
      <c r="J36" s="32">
        <f t="shared" si="3"/>
        <v>0.30875000000000002</v>
      </c>
      <c r="K36" s="22"/>
      <c r="L36" s="22"/>
      <c r="M36" s="22"/>
      <c r="N36" s="23"/>
      <c r="O36" s="31">
        <v>1123</v>
      </c>
      <c r="P36" s="22"/>
      <c r="Q36" s="22"/>
      <c r="R36" s="22"/>
      <c r="S36" s="23"/>
      <c r="T36" s="34">
        <v>247</v>
      </c>
      <c r="U36" s="22"/>
      <c r="V36" s="22"/>
      <c r="W36" s="22"/>
      <c r="X36" s="23"/>
      <c r="Y36" s="24">
        <f t="shared" si="1"/>
        <v>0.32925100000000002</v>
      </c>
      <c r="Z36" s="22"/>
      <c r="AA36" s="22"/>
      <c r="AB36" s="22"/>
      <c r="AC36" s="23"/>
      <c r="AD36" s="25">
        <v>1349</v>
      </c>
      <c r="AE36" s="22"/>
      <c r="AF36" s="22"/>
      <c r="AG36" s="22"/>
      <c r="AH36" s="23"/>
      <c r="AI36" s="21">
        <v>1405</v>
      </c>
      <c r="AJ36" s="22"/>
      <c r="AK36" s="22"/>
      <c r="AL36" s="22"/>
      <c r="AM36" s="23"/>
      <c r="AN36" s="21">
        <v>1445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450</v>
      </c>
      <c r="F37" s="22"/>
      <c r="G37" s="22"/>
      <c r="H37" s="22"/>
      <c r="I37" s="23"/>
      <c r="J37" s="32">
        <f t="shared" si="3"/>
        <v>0.5625</v>
      </c>
      <c r="K37" s="22"/>
      <c r="L37" s="22"/>
      <c r="M37" s="22"/>
      <c r="N37" s="23"/>
      <c r="O37" s="31">
        <v>1125</v>
      </c>
      <c r="P37" s="22"/>
      <c r="Q37" s="22"/>
      <c r="R37" s="22"/>
      <c r="S37" s="23"/>
      <c r="T37" s="34">
        <v>450</v>
      </c>
      <c r="U37" s="22"/>
      <c r="V37" s="22"/>
      <c r="W37" s="22"/>
      <c r="X37" s="23"/>
      <c r="Y37" s="24">
        <f t="shared" si="1"/>
        <v>0.59984999999999999</v>
      </c>
      <c r="Z37" s="22"/>
      <c r="AA37" s="22"/>
      <c r="AB37" s="22"/>
      <c r="AC37" s="23"/>
      <c r="AD37" s="25">
        <v>1351</v>
      </c>
      <c r="AE37" s="22"/>
      <c r="AF37" s="22"/>
      <c r="AG37" s="22"/>
      <c r="AH37" s="23"/>
      <c r="AI37" s="21">
        <v>1406</v>
      </c>
      <c r="AJ37" s="22"/>
      <c r="AK37" s="22"/>
      <c r="AL37" s="22"/>
      <c r="AM37" s="23"/>
      <c r="AN37" s="21">
        <v>1446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462</v>
      </c>
      <c r="F38" s="22"/>
      <c r="G38" s="22"/>
      <c r="H38" s="22"/>
      <c r="I38" s="23"/>
      <c r="J38" s="32">
        <f t="shared" si="3"/>
        <v>0.57750000000000001</v>
      </c>
      <c r="K38" s="22"/>
      <c r="L38" s="22"/>
      <c r="M38" s="22"/>
      <c r="N38" s="23"/>
      <c r="O38" s="31">
        <v>1130</v>
      </c>
      <c r="P38" s="22"/>
      <c r="Q38" s="22"/>
      <c r="R38" s="22"/>
      <c r="S38" s="23"/>
      <c r="T38" s="34">
        <v>462</v>
      </c>
      <c r="U38" s="22"/>
      <c r="V38" s="22"/>
      <c r="W38" s="22"/>
      <c r="X38" s="23"/>
      <c r="Y38" s="24">
        <f t="shared" si="1"/>
        <v>0.615846</v>
      </c>
      <c r="Z38" s="22"/>
      <c r="AA38" s="22"/>
      <c r="AB38" s="22"/>
      <c r="AC38" s="23"/>
      <c r="AD38" s="25">
        <v>1153</v>
      </c>
      <c r="AE38" s="22"/>
      <c r="AF38" s="22"/>
      <c r="AG38" s="22"/>
      <c r="AH38" s="23"/>
      <c r="AI38" s="21">
        <v>1407</v>
      </c>
      <c r="AJ38" s="22"/>
      <c r="AK38" s="22"/>
      <c r="AL38" s="22"/>
      <c r="AM38" s="23"/>
      <c r="AN38" s="21">
        <v>1447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287</v>
      </c>
      <c r="F39" s="22"/>
      <c r="G39" s="22"/>
      <c r="H39" s="22"/>
      <c r="I39" s="23"/>
      <c r="J39" s="32">
        <f t="shared" si="3"/>
        <v>0.35875000000000001</v>
      </c>
      <c r="K39" s="22"/>
      <c r="L39" s="22"/>
      <c r="M39" s="22"/>
      <c r="N39" s="23"/>
      <c r="O39" s="31">
        <v>1133</v>
      </c>
      <c r="P39" s="22"/>
      <c r="Q39" s="22"/>
      <c r="R39" s="22"/>
      <c r="S39" s="23"/>
      <c r="T39" s="25">
        <v>287</v>
      </c>
      <c r="U39" s="22"/>
      <c r="V39" s="22"/>
      <c r="W39" s="22"/>
      <c r="X39" s="23"/>
      <c r="Y39" s="24">
        <f t="shared" si="1"/>
        <v>0.38257099999999999</v>
      </c>
      <c r="Z39" s="22"/>
      <c r="AA39" s="22"/>
      <c r="AB39" s="22"/>
      <c r="AC39" s="23"/>
      <c r="AD39" s="25">
        <v>1155</v>
      </c>
      <c r="AE39" s="22"/>
      <c r="AF39" s="22"/>
      <c r="AG39" s="22"/>
      <c r="AH39" s="23"/>
      <c r="AI39" s="21">
        <v>1408</v>
      </c>
      <c r="AJ39" s="22"/>
      <c r="AK39" s="22"/>
      <c r="AL39" s="22"/>
      <c r="AM39" s="23"/>
      <c r="AN39" s="21">
        <v>1448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>
        <v>248</v>
      </c>
      <c r="F40" s="22"/>
      <c r="G40" s="22"/>
      <c r="H40" s="22"/>
      <c r="I40" s="23"/>
      <c r="J40" s="32">
        <f t="shared" ref="J40:J46" si="4">E40*0.0012</f>
        <v>0.29759999999999998</v>
      </c>
      <c r="K40" s="22"/>
      <c r="L40" s="22"/>
      <c r="M40" s="22"/>
      <c r="N40" s="23"/>
      <c r="O40" s="31">
        <v>1130</v>
      </c>
      <c r="P40" s="22"/>
      <c r="Q40" s="22"/>
      <c r="R40" s="22"/>
      <c r="S40" s="23"/>
      <c r="T40" s="25">
        <v>248</v>
      </c>
      <c r="U40" s="22"/>
      <c r="V40" s="22"/>
      <c r="W40" s="22"/>
      <c r="X40" s="23"/>
      <c r="Y40" s="24">
        <f t="shared" si="1"/>
        <v>0.33058399999999999</v>
      </c>
      <c r="Z40" s="22"/>
      <c r="AA40" s="22"/>
      <c r="AB40" s="22"/>
      <c r="AC40" s="23"/>
      <c r="AD40" s="25">
        <v>1145</v>
      </c>
      <c r="AE40" s="22"/>
      <c r="AF40" s="22"/>
      <c r="AG40" s="22"/>
      <c r="AH40" s="23"/>
      <c r="AI40" s="21">
        <v>1211</v>
      </c>
      <c r="AJ40" s="22"/>
      <c r="AK40" s="22"/>
      <c r="AL40" s="22"/>
      <c r="AM40" s="23"/>
      <c r="AN40" s="21">
        <v>1251</v>
      </c>
      <c r="AO40" s="22"/>
      <c r="AP40" s="22"/>
      <c r="AQ40" s="22"/>
      <c r="AR40" s="23"/>
      <c r="AS40" s="21"/>
      <c r="AT40" s="22"/>
      <c r="AU40" s="22"/>
      <c r="AV40" s="22"/>
      <c r="AW40" s="23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>
        <v>287</v>
      </c>
      <c r="F41" s="22"/>
      <c r="G41" s="22"/>
      <c r="H41" s="22"/>
      <c r="I41" s="23"/>
      <c r="J41" s="32">
        <f t="shared" si="4"/>
        <v>0.34439999999999998</v>
      </c>
      <c r="K41" s="22"/>
      <c r="L41" s="22"/>
      <c r="M41" s="22"/>
      <c r="N41" s="23"/>
      <c r="O41" s="31">
        <v>1132</v>
      </c>
      <c r="P41" s="22"/>
      <c r="Q41" s="22"/>
      <c r="R41" s="22"/>
      <c r="S41" s="23"/>
      <c r="T41" s="34">
        <v>287</v>
      </c>
      <c r="U41" s="22"/>
      <c r="V41" s="22"/>
      <c r="W41" s="22"/>
      <c r="X41" s="23"/>
      <c r="Y41" s="24">
        <f t="shared" si="1"/>
        <v>0.38257099999999999</v>
      </c>
      <c r="Z41" s="22"/>
      <c r="AA41" s="22"/>
      <c r="AB41" s="22"/>
      <c r="AC41" s="23"/>
      <c r="AD41" s="25">
        <v>1147</v>
      </c>
      <c r="AE41" s="22"/>
      <c r="AF41" s="22"/>
      <c r="AG41" s="22"/>
      <c r="AH41" s="23"/>
      <c r="AI41" s="21">
        <v>1212</v>
      </c>
      <c r="AJ41" s="22"/>
      <c r="AK41" s="22"/>
      <c r="AL41" s="22"/>
      <c r="AM41" s="23"/>
      <c r="AN41" s="21">
        <v>1252</v>
      </c>
      <c r="AO41" s="22"/>
      <c r="AP41" s="22"/>
      <c r="AQ41" s="22"/>
      <c r="AR41" s="23"/>
      <c r="AS41" s="21"/>
      <c r="AT41" s="22"/>
      <c r="AU41" s="22"/>
      <c r="AV41" s="22"/>
      <c r="AW41" s="23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>
        <v>397</v>
      </c>
      <c r="F42" s="22"/>
      <c r="G42" s="22"/>
      <c r="H42" s="22"/>
      <c r="I42" s="23"/>
      <c r="J42" s="32">
        <f t="shared" si="4"/>
        <v>0.47639999999999993</v>
      </c>
      <c r="K42" s="22"/>
      <c r="L42" s="22"/>
      <c r="M42" s="22"/>
      <c r="N42" s="23"/>
      <c r="O42" s="31">
        <v>1135</v>
      </c>
      <c r="P42" s="22"/>
      <c r="Q42" s="22"/>
      <c r="R42" s="22"/>
      <c r="S42" s="23"/>
      <c r="T42" s="34">
        <v>397</v>
      </c>
      <c r="U42" s="22"/>
      <c r="V42" s="22"/>
      <c r="W42" s="22"/>
      <c r="X42" s="23"/>
      <c r="Y42" s="24">
        <f t="shared" si="1"/>
        <v>0.52920100000000003</v>
      </c>
      <c r="Z42" s="22"/>
      <c r="AA42" s="22"/>
      <c r="AB42" s="22"/>
      <c r="AC42" s="23"/>
      <c r="AD42" s="25">
        <v>1149</v>
      </c>
      <c r="AE42" s="22"/>
      <c r="AF42" s="22"/>
      <c r="AG42" s="22"/>
      <c r="AH42" s="23"/>
      <c r="AI42" s="21">
        <v>1213</v>
      </c>
      <c r="AJ42" s="22"/>
      <c r="AK42" s="22"/>
      <c r="AL42" s="22"/>
      <c r="AM42" s="23"/>
      <c r="AN42" s="21">
        <v>1253</v>
      </c>
      <c r="AO42" s="22"/>
      <c r="AP42" s="22"/>
      <c r="AQ42" s="22"/>
      <c r="AR42" s="23"/>
      <c r="AS42" s="21"/>
      <c r="AT42" s="22"/>
      <c r="AU42" s="22"/>
      <c r="AV42" s="22"/>
      <c r="AW42" s="23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>
        <v>392</v>
      </c>
      <c r="F43" s="22"/>
      <c r="G43" s="22"/>
      <c r="H43" s="22"/>
      <c r="I43" s="23"/>
      <c r="J43" s="32">
        <f t="shared" si="4"/>
        <v>0.47039999999999998</v>
      </c>
      <c r="K43" s="22"/>
      <c r="L43" s="22"/>
      <c r="M43" s="22"/>
      <c r="N43" s="23"/>
      <c r="O43" s="31">
        <v>1138</v>
      </c>
      <c r="P43" s="22"/>
      <c r="Q43" s="22"/>
      <c r="R43" s="22"/>
      <c r="S43" s="23"/>
      <c r="T43" s="34">
        <v>392</v>
      </c>
      <c r="U43" s="22"/>
      <c r="V43" s="22"/>
      <c r="W43" s="22"/>
      <c r="X43" s="23"/>
      <c r="Y43" s="24">
        <f t="shared" si="1"/>
        <v>0.522536</v>
      </c>
      <c r="Z43" s="22"/>
      <c r="AA43" s="22"/>
      <c r="AB43" s="22"/>
      <c r="AC43" s="23"/>
      <c r="AD43" s="25">
        <v>1151</v>
      </c>
      <c r="AE43" s="22"/>
      <c r="AF43" s="22"/>
      <c r="AG43" s="22"/>
      <c r="AH43" s="23"/>
      <c r="AI43" s="21">
        <v>1214</v>
      </c>
      <c r="AJ43" s="22"/>
      <c r="AK43" s="22"/>
      <c r="AL43" s="22"/>
      <c r="AM43" s="23"/>
      <c r="AN43" s="21">
        <v>1254</v>
      </c>
      <c r="AO43" s="22"/>
      <c r="AP43" s="22"/>
      <c r="AQ43" s="22"/>
      <c r="AR43" s="23"/>
      <c r="AS43" s="21"/>
      <c r="AT43" s="22"/>
      <c r="AU43" s="22"/>
      <c r="AV43" s="22"/>
      <c r="AW43" s="23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>
        <v>435</v>
      </c>
      <c r="F44" s="22"/>
      <c r="G44" s="22"/>
      <c r="H44" s="22"/>
      <c r="I44" s="23"/>
      <c r="J44" s="32">
        <f t="shared" si="4"/>
        <v>0.52199999999999991</v>
      </c>
      <c r="K44" s="22"/>
      <c r="L44" s="22"/>
      <c r="M44" s="22"/>
      <c r="N44" s="23"/>
      <c r="O44" s="41">
        <v>1141</v>
      </c>
      <c r="P44" s="22"/>
      <c r="Q44" s="22"/>
      <c r="R44" s="22"/>
      <c r="S44" s="23"/>
      <c r="T44" s="34">
        <v>435</v>
      </c>
      <c r="U44" s="22"/>
      <c r="V44" s="22"/>
      <c r="W44" s="22"/>
      <c r="X44" s="23"/>
      <c r="Y44" s="24">
        <f t="shared" si="1"/>
        <v>0.57985500000000001</v>
      </c>
      <c r="Z44" s="22"/>
      <c r="AA44" s="22"/>
      <c r="AB44" s="22"/>
      <c r="AC44" s="23"/>
      <c r="AD44" s="25">
        <v>1154</v>
      </c>
      <c r="AE44" s="22"/>
      <c r="AF44" s="22"/>
      <c r="AG44" s="22"/>
      <c r="AH44" s="23"/>
      <c r="AI44" s="21">
        <v>1215</v>
      </c>
      <c r="AJ44" s="22"/>
      <c r="AK44" s="22"/>
      <c r="AL44" s="22"/>
      <c r="AM44" s="23"/>
      <c r="AN44" s="21">
        <v>1255</v>
      </c>
      <c r="AO44" s="22"/>
      <c r="AP44" s="22"/>
      <c r="AQ44" s="22"/>
      <c r="AR44" s="23"/>
      <c r="AS44" s="30" t="s">
        <v>111</v>
      </c>
      <c r="AT44" s="22"/>
      <c r="AU44" s="22"/>
      <c r="AV44" s="22"/>
      <c r="AW44" s="23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>
        <v>443</v>
      </c>
      <c r="F45" s="22"/>
      <c r="G45" s="22"/>
      <c r="H45" s="22"/>
      <c r="I45" s="23"/>
      <c r="J45" s="32">
        <f t="shared" si="4"/>
        <v>0.53159999999999996</v>
      </c>
      <c r="K45" s="22"/>
      <c r="L45" s="22"/>
      <c r="M45" s="22"/>
      <c r="N45" s="23"/>
      <c r="O45" s="31">
        <v>1218</v>
      </c>
      <c r="P45" s="22"/>
      <c r="Q45" s="22"/>
      <c r="R45" s="22"/>
      <c r="S45" s="23"/>
      <c r="T45" s="34">
        <v>443</v>
      </c>
      <c r="U45" s="22"/>
      <c r="V45" s="22"/>
      <c r="W45" s="22"/>
      <c r="X45" s="23"/>
      <c r="Y45" s="24">
        <f t="shared" si="1"/>
        <v>0.59051900000000002</v>
      </c>
      <c r="Z45" s="22"/>
      <c r="AA45" s="22"/>
      <c r="AB45" s="22"/>
      <c r="AC45" s="23"/>
      <c r="AD45" s="25">
        <v>1233</v>
      </c>
      <c r="AE45" s="22"/>
      <c r="AF45" s="22"/>
      <c r="AG45" s="22"/>
      <c r="AH45" s="23"/>
      <c r="AI45" s="21">
        <v>1259</v>
      </c>
      <c r="AJ45" s="22"/>
      <c r="AK45" s="22"/>
      <c r="AL45" s="22"/>
      <c r="AM45" s="23"/>
      <c r="AN45" s="21">
        <v>1339</v>
      </c>
      <c r="AO45" s="22"/>
      <c r="AP45" s="22"/>
      <c r="AQ45" s="22"/>
      <c r="AR45" s="23"/>
      <c r="AS45" s="21"/>
      <c r="AT45" s="22"/>
      <c r="AU45" s="22"/>
      <c r="AV45" s="22"/>
      <c r="AW45" s="23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>
        <v>267</v>
      </c>
      <c r="F46" s="22"/>
      <c r="G46" s="22"/>
      <c r="H46" s="22"/>
      <c r="I46" s="23"/>
      <c r="J46" s="32">
        <f t="shared" si="4"/>
        <v>0.32039999999999996</v>
      </c>
      <c r="K46" s="22"/>
      <c r="L46" s="22"/>
      <c r="M46" s="22"/>
      <c r="N46" s="23"/>
      <c r="O46" s="31">
        <v>1222</v>
      </c>
      <c r="P46" s="22"/>
      <c r="Q46" s="22"/>
      <c r="R46" s="22"/>
      <c r="S46" s="23"/>
      <c r="T46" s="25">
        <v>267</v>
      </c>
      <c r="U46" s="22"/>
      <c r="V46" s="22"/>
      <c r="W46" s="22"/>
      <c r="X46" s="23"/>
      <c r="Y46" s="24">
        <f t="shared" si="1"/>
        <v>0.35591099999999998</v>
      </c>
      <c r="Z46" s="22"/>
      <c r="AA46" s="22"/>
      <c r="AB46" s="22"/>
      <c r="AC46" s="23"/>
      <c r="AD46" s="25">
        <v>1236</v>
      </c>
      <c r="AE46" s="22"/>
      <c r="AF46" s="22"/>
      <c r="AG46" s="22"/>
      <c r="AH46" s="23"/>
      <c r="AI46" s="21">
        <v>1300</v>
      </c>
      <c r="AJ46" s="22"/>
      <c r="AK46" s="22"/>
      <c r="AL46" s="22"/>
      <c r="AM46" s="23"/>
      <c r="AN46" s="21">
        <v>1340</v>
      </c>
      <c r="AO46" s="22"/>
      <c r="AP46" s="22"/>
      <c r="AQ46" s="22"/>
      <c r="AR46" s="23"/>
      <c r="AS46" s="21"/>
      <c r="AT46" s="22"/>
      <c r="AU46" s="22"/>
      <c r="AV46" s="22"/>
      <c r="AW46" s="23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414">
    <mergeCell ref="AI38:AM38"/>
    <mergeCell ref="AD37:AH37"/>
    <mergeCell ref="AN25:AR25"/>
    <mergeCell ref="T26:X26"/>
    <mergeCell ref="Y26:AC26"/>
    <mergeCell ref="AD26:AH26"/>
    <mergeCell ref="AI26:AM26"/>
    <mergeCell ref="AD27:AH27"/>
    <mergeCell ref="T27:X27"/>
    <mergeCell ref="Y27:AC27"/>
    <mergeCell ref="T28:X28"/>
    <mergeCell ref="Y28:AC28"/>
    <mergeCell ref="T30:X30"/>
    <mergeCell ref="Y30:AC30"/>
    <mergeCell ref="AD30:AH30"/>
    <mergeCell ref="E26:I26"/>
    <mergeCell ref="J26:N26"/>
    <mergeCell ref="O26:S26"/>
    <mergeCell ref="O37:S37"/>
    <mergeCell ref="T37:X37"/>
    <mergeCell ref="Y37:AC37"/>
    <mergeCell ref="E38:I38"/>
    <mergeCell ref="J38:N38"/>
    <mergeCell ref="O38:S38"/>
    <mergeCell ref="E30:I30"/>
    <mergeCell ref="J30:N30"/>
    <mergeCell ref="O30:S30"/>
    <mergeCell ref="AI39:AM39"/>
    <mergeCell ref="E37:I37"/>
    <mergeCell ref="J37:N37"/>
    <mergeCell ref="AS25:AW25"/>
    <mergeCell ref="AS24:AW24"/>
    <mergeCell ref="AN24:AR24"/>
    <mergeCell ref="E25:I25"/>
    <mergeCell ref="J25:N25"/>
    <mergeCell ref="AI36:AM36"/>
    <mergeCell ref="AI35:AM35"/>
    <mergeCell ref="AI34:AM34"/>
    <mergeCell ref="AI33:AM33"/>
    <mergeCell ref="O25:S25"/>
    <mergeCell ref="E31:I31"/>
    <mergeCell ref="J31:N31"/>
    <mergeCell ref="O31:S31"/>
    <mergeCell ref="AI31:AM31"/>
    <mergeCell ref="AD31:AH31"/>
    <mergeCell ref="T31:X31"/>
    <mergeCell ref="Y31:AC31"/>
    <mergeCell ref="T32:X32"/>
    <mergeCell ref="Y32:AC32"/>
    <mergeCell ref="AD32:AH32"/>
    <mergeCell ref="AI32:AM32"/>
    <mergeCell ref="E23:I23"/>
    <mergeCell ref="J23:N23"/>
    <mergeCell ref="O23:S23"/>
    <mergeCell ref="T23:X23"/>
    <mergeCell ref="Y23:AC23"/>
    <mergeCell ref="AD23:AH23"/>
    <mergeCell ref="AI23:AM23"/>
    <mergeCell ref="E39:I39"/>
    <mergeCell ref="J39:N39"/>
    <mergeCell ref="O39:S39"/>
    <mergeCell ref="E24:I24"/>
    <mergeCell ref="J24:N24"/>
    <mergeCell ref="O24:S24"/>
    <mergeCell ref="AI24:AM24"/>
    <mergeCell ref="AD24:AH24"/>
    <mergeCell ref="T24:X24"/>
    <mergeCell ref="Y24:AC24"/>
    <mergeCell ref="T25:X25"/>
    <mergeCell ref="Y25:AC25"/>
    <mergeCell ref="AD25:AH25"/>
    <mergeCell ref="AI25:AM25"/>
    <mergeCell ref="AI37:AM37"/>
    <mergeCell ref="AD38:AH38"/>
    <mergeCell ref="T38:X38"/>
    <mergeCell ref="AI30:AM30"/>
    <mergeCell ref="E32:I32"/>
    <mergeCell ref="J32:N32"/>
    <mergeCell ref="O32:S32"/>
    <mergeCell ref="AD45:AH45"/>
    <mergeCell ref="T45:X45"/>
    <mergeCell ref="Y45:AC45"/>
    <mergeCell ref="AN32:AR32"/>
    <mergeCell ref="AS32:AW32"/>
    <mergeCell ref="AS31:AW31"/>
    <mergeCell ref="AN31:AR31"/>
    <mergeCell ref="AN30:AR30"/>
    <mergeCell ref="AS30:AW30"/>
    <mergeCell ref="AN39:AR39"/>
    <mergeCell ref="AS39:AW39"/>
    <mergeCell ref="AS38:AW38"/>
    <mergeCell ref="AN38:AR38"/>
    <mergeCell ref="AN37:AR37"/>
    <mergeCell ref="AS37:AW37"/>
    <mergeCell ref="AS45:AW45"/>
    <mergeCell ref="AN45:AR45"/>
    <mergeCell ref="AN33:AR33"/>
    <mergeCell ref="AS33:AW33"/>
    <mergeCell ref="AN36:AR36"/>
    <mergeCell ref="AS46:AW46"/>
    <mergeCell ref="T46:X46"/>
    <mergeCell ref="Y46:AC46"/>
    <mergeCell ref="AN44:AR44"/>
    <mergeCell ref="AS44:AW44"/>
    <mergeCell ref="E44:I44"/>
    <mergeCell ref="J44:N44"/>
    <mergeCell ref="O44:S44"/>
    <mergeCell ref="T44:X44"/>
    <mergeCell ref="Y44:AC44"/>
    <mergeCell ref="AD44:AH44"/>
    <mergeCell ref="AI44:AM44"/>
    <mergeCell ref="AD46:AH46"/>
    <mergeCell ref="E45:I45"/>
    <mergeCell ref="J45:N45"/>
    <mergeCell ref="O45:S45"/>
    <mergeCell ref="AI45:AM45"/>
    <mergeCell ref="AI46:AM46"/>
    <mergeCell ref="AN46:AR46"/>
    <mergeCell ref="E46:I46"/>
    <mergeCell ref="J46:N46"/>
    <mergeCell ref="O46:S46"/>
    <mergeCell ref="AS36:AW36"/>
    <mergeCell ref="AN35:AR35"/>
    <mergeCell ref="AS35:AW35"/>
    <mergeCell ref="AS34:AW34"/>
    <mergeCell ref="AN34:AR34"/>
    <mergeCell ref="AN26:AR26"/>
    <mergeCell ref="AS26:AW26"/>
    <mergeCell ref="E40:I40"/>
    <mergeCell ref="J40:N40"/>
    <mergeCell ref="O40:S40"/>
    <mergeCell ref="T40:X40"/>
    <mergeCell ref="Y40:AC40"/>
    <mergeCell ref="AD40:AH40"/>
    <mergeCell ref="AI40:AM40"/>
    <mergeCell ref="AN40:AR40"/>
    <mergeCell ref="AS40:AW40"/>
    <mergeCell ref="J34:N34"/>
    <mergeCell ref="O34:S34"/>
    <mergeCell ref="AD34:AH34"/>
    <mergeCell ref="T34:X34"/>
    <mergeCell ref="Y34:AC34"/>
    <mergeCell ref="T35:X35"/>
    <mergeCell ref="Y35:AC35"/>
    <mergeCell ref="E35:I35"/>
    <mergeCell ref="AS3:AW3"/>
    <mergeCell ref="E3:I3"/>
    <mergeCell ref="J3:N3"/>
    <mergeCell ref="O3:S3"/>
    <mergeCell ref="T3:X3"/>
    <mergeCell ref="AI6:AM6"/>
    <mergeCell ref="AN6:AR6"/>
    <mergeCell ref="AI5:AM5"/>
    <mergeCell ref="AN5:AR5"/>
    <mergeCell ref="J4:N4"/>
    <mergeCell ref="O4:S4"/>
    <mergeCell ref="AD4:AH4"/>
    <mergeCell ref="T4:X4"/>
    <mergeCell ref="Y4:AC4"/>
    <mergeCell ref="E5:I5"/>
    <mergeCell ref="J5:N5"/>
    <mergeCell ref="O5:S5"/>
    <mergeCell ref="T5:X5"/>
    <mergeCell ref="Y5:AC5"/>
    <mergeCell ref="AD5:AH5"/>
    <mergeCell ref="Y3:AC3"/>
    <mergeCell ref="AI4:AM4"/>
    <mergeCell ref="AI3:AM3"/>
    <mergeCell ref="AS6:AW6"/>
    <mergeCell ref="AI1:AM1"/>
    <mergeCell ref="AN1:AR1"/>
    <mergeCell ref="E1:I1"/>
    <mergeCell ref="J1:N1"/>
    <mergeCell ref="O1:S1"/>
    <mergeCell ref="T1:X1"/>
    <mergeCell ref="Y1:AC1"/>
    <mergeCell ref="AD1:AH1"/>
    <mergeCell ref="AS1:AW1"/>
    <mergeCell ref="AI2:AM2"/>
    <mergeCell ref="AN2:AR2"/>
    <mergeCell ref="AS5:AW5"/>
    <mergeCell ref="AS2:AW2"/>
    <mergeCell ref="E4:I4"/>
    <mergeCell ref="AN4:AR4"/>
    <mergeCell ref="AS4:AW4"/>
    <mergeCell ref="AN3:AR3"/>
    <mergeCell ref="T8:X8"/>
    <mergeCell ref="Y8:AC8"/>
    <mergeCell ref="AN8:AR8"/>
    <mergeCell ref="AS8:AW8"/>
    <mergeCell ref="E8:I8"/>
    <mergeCell ref="J8:N8"/>
    <mergeCell ref="O8:S8"/>
    <mergeCell ref="AI8:AM8"/>
    <mergeCell ref="E6:I6"/>
    <mergeCell ref="J6:N6"/>
    <mergeCell ref="O6:S6"/>
    <mergeCell ref="AD8:AH8"/>
    <mergeCell ref="E7:I7"/>
    <mergeCell ref="J7:N7"/>
    <mergeCell ref="O7:S7"/>
    <mergeCell ref="T7:X7"/>
    <mergeCell ref="Y7:AC7"/>
    <mergeCell ref="T6:X6"/>
    <mergeCell ref="Y6:AC6"/>
    <mergeCell ref="AD6:AH6"/>
    <mergeCell ref="AD7:AH7"/>
    <mergeCell ref="AI7:AM7"/>
    <mergeCell ref="AN7:AR7"/>
    <mergeCell ref="AS7:AW7"/>
    <mergeCell ref="E9:I9"/>
    <mergeCell ref="J9:N9"/>
    <mergeCell ref="O9:S9"/>
    <mergeCell ref="T9:X9"/>
    <mergeCell ref="Y9:AC9"/>
    <mergeCell ref="AI10:AM10"/>
    <mergeCell ref="AD9:AH9"/>
    <mergeCell ref="AI9:AM9"/>
    <mergeCell ref="AN9:AR9"/>
    <mergeCell ref="J11:N11"/>
    <mergeCell ref="AS11:AW11"/>
    <mergeCell ref="Y10:AC10"/>
    <mergeCell ref="Y11:AC11"/>
    <mergeCell ref="AD10:AH10"/>
    <mergeCell ref="AD11:AH11"/>
    <mergeCell ref="E10:I10"/>
    <mergeCell ref="J10:N10"/>
    <mergeCell ref="O10:S10"/>
    <mergeCell ref="E16:I16"/>
    <mergeCell ref="J16:N16"/>
    <mergeCell ref="O16:S16"/>
    <mergeCell ref="T16:X16"/>
    <mergeCell ref="Y16:AC16"/>
    <mergeCell ref="AN17:AR17"/>
    <mergeCell ref="E13:I13"/>
    <mergeCell ref="J13:N13"/>
    <mergeCell ref="O13:S13"/>
    <mergeCell ref="AI13:AM13"/>
    <mergeCell ref="E15:I15"/>
    <mergeCell ref="J15:N15"/>
    <mergeCell ref="O15:S15"/>
    <mergeCell ref="T15:X15"/>
    <mergeCell ref="Y15:AC15"/>
    <mergeCell ref="AD15:AH15"/>
    <mergeCell ref="AI15:AM15"/>
    <mergeCell ref="E14:I14"/>
    <mergeCell ref="J14:N14"/>
    <mergeCell ref="O14:S14"/>
    <mergeCell ref="AN10:AR10"/>
    <mergeCell ref="E17:I17"/>
    <mergeCell ref="J17:N17"/>
    <mergeCell ref="O17:S17"/>
    <mergeCell ref="AD17:AH17"/>
    <mergeCell ref="AI17:AM17"/>
    <mergeCell ref="T17:X17"/>
    <mergeCell ref="Y17:AC17"/>
    <mergeCell ref="E18:I18"/>
    <mergeCell ref="J18:N18"/>
    <mergeCell ref="O18:S18"/>
    <mergeCell ref="T18:X18"/>
    <mergeCell ref="Y18:AC18"/>
    <mergeCell ref="AD18:AH18"/>
    <mergeCell ref="AI18:AM18"/>
    <mergeCell ref="E2:I2"/>
    <mergeCell ref="J2:N2"/>
    <mergeCell ref="O2:S2"/>
    <mergeCell ref="T2:X2"/>
    <mergeCell ref="Y2:AC2"/>
    <mergeCell ref="AD2:AH2"/>
    <mergeCell ref="AD3:AH3"/>
    <mergeCell ref="AN12:AR12"/>
    <mergeCell ref="AS12:AW12"/>
    <mergeCell ref="E12:I12"/>
    <mergeCell ref="J12:N12"/>
    <mergeCell ref="O12:S12"/>
    <mergeCell ref="T12:X12"/>
    <mergeCell ref="Y12:AC12"/>
    <mergeCell ref="AD12:AH12"/>
    <mergeCell ref="AI12:AM12"/>
    <mergeCell ref="AS9:AW9"/>
    <mergeCell ref="AS10:AW10"/>
    <mergeCell ref="O11:S11"/>
    <mergeCell ref="T10:X10"/>
    <mergeCell ref="T11:X11"/>
    <mergeCell ref="AI11:AM11"/>
    <mergeCell ref="AN11:AR11"/>
    <mergeCell ref="E11:I11"/>
    <mergeCell ref="AS21:AW21"/>
    <mergeCell ref="AS20:AW20"/>
    <mergeCell ref="AN20:AR20"/>
    <mergeCell ref="AN15:AR15"/>
    <mergeCell ref="AS15:AW15"/>
    <mergeCell ref="AD13:AH13"/>
    <mergeCell ref="T13:X13"/>
    <mergeCell ref="Y13:AC13"/>
    <mergeCell ref="T14:X14"/>
    <mergeCell ref="Y14:AC14"/>
    <mergeCell ref="AD14:AH14"/>
    <mergeCell ref="AI14:AM14"/>
    <mergeCell ref="AN14:AR14"/>
    <mergeCell ref="AS14:AW14"/>
    <mergeCell ref="AS13:AW13"/>
    <mergeCell ref="AN13:AR13"/>
    <mergeCell ref="AD16:AH16"/>
    <mergeCell ref="AI16:AM16"/>
    <mergeCell ref="AN16:AR16"/>
    <mergeCell ref="AS16:AW16"/>
    <mergeCell ref="AS17:AW17"/>
    <mergeCell ref="AS18:AW18"/>
    <mergeCell ref="AN18:AR18"/>
    <mergeCell ref="AS19:AW19"/>
    <mergeCell ref="E19:I19"/>
    <mergeCell ref="J19:N19"/>
    <mergeCell ref="O19:S19"/>
    <mergeCell ref="T19:X19"/>
    <mergeCell ref="Y19:AC19"/>
    <mergeCell ref="AD19:AH19"/>
    <mergeCell ref="AI19:AM19"/>
    <mergeCell ref="E20:I20"/>
    <mergeCell ref="J20:N20"/>
    <mergeCell ref="O20:S20"/>
    <mergeCell ref="AI20:AM20"/>
    <mergeCell ref="AD20:AH20"/>
    <mergeCell ref="T20:X20"/>
    <mergeCell ref="Y20:AC20"/>
    <mergeCell ref="E22:I22"/>
    <mergeCell ref="J22:N22"/>
    <mergeCell ref="O22:S22"/>
    <mergeCell ref="T22:X22"/>
    <mergeCell ref="Y22:AC22"/>
    <mergeCell ref="E21:I21"/>
    <mergeCell ref="J21:N21"/>
    <mergeCell ref="O21:S21"/>
    <mergeCell ref="AN19:AR19"/>
    <mergeCell ref="T21:X21"/>
    <mergeCell ref="Y21:AC21"/>
    <mergeCell ref="AD21:AH21"/>
    <mergeCell ref="AI21:AM21"/>
    <mergeCell ref="AN21:AR21"/>
    <mergeCell ref="AD28:AH28"/>
    <mergeCell ref="AI28:AM28"/>
    <mergeCell ref="AN28:AR28"/>
    <mergeCell ref="AS28:AW28"/>
    <mergeCell ref="AS27:AW27"/>
    <mergeCell ref="AN27:AR27"/>
    <mergeCell ref="AD22:AH22"/>
    <mergeCell ref="AI22:AM22"/>
    <mergeCell ref="AN22:AR22"/>
    <mergeCell ref="AS22:AW22"/>
    <mergeCell ref="AN23:AR23"/>
    <mergeCell ref="AS23:AW23"/>
    <mergeCell ref="E28:I28"/>
    <mergeCell ref="J28:N28"/>
    <mergeCell ref="O28:S28"/>
    <mergeCell ref="E27:I27"/>
    <mergeCell ref="J27:N27"/>
    <mergeCell ref="O27:S27"/>
    <mergeCell ref="AI27:AM27"/>
    <mergeCell ref="AS41:AW41"/>
    <mergeCell ref="AN41:AR41"/>
    <mergeCell ref="AD29:AH29"/>
    <mergeCell ref="AI29:AM29"/>
    <mergeCell ref="AN29:AR29"/>
    <mergeCell ref="AS29:AW29"/>
    <mergeCell ref="E29:I29"/>
    <mergeCell ref="J29:N29"/>
    <mergeCell ref="O29:S29"/>
    <mergeCell ref="T29:X29"/>
    <mergeCell ref="Y29:AC29"/>
    <mergeCell ref="E36:I36"/>
    <mergeCell ref="J36:N36"/>
    <mergeCell ref="O36:S36"/>
    <mergeCell ref="T36:X36"/>
    <mergeCell ref="Y36:AC36"/>
    <mergeCell ref="AD36:AH36"/>
    <mergeCell ref="E33:I33"/>
    <mergeCell ref="J33:N33"/>
    <mergeCell ref="O33:S33"/>
    <mergeCell ref="T33:X33"/>
    <mergeCell ref="Y33:AC33"/>
    <mergeCell ref="AD33:AH33"/>
    <mergeCell ref="E34:I34"/>
    <mergeCell ref="E41:I41"/>
    <mergeCell ref="J41:N41"/>
    <mergeCell ref="O41:S41"/>
    <mergeCell ref="J35:N35"/>
    <mergeCell ref="O35:S35"/>
    <mergeCell ref="AD35:AH35"/>
    <mergeCell ref="Y38:AC38"/>
    <mergeCell ref="T39:X39"/>
    <mergeCell ref="Y39:AC39"/>
    <mergeCell ref="AD39:AH39"/>
    <mergeCell ref="AI41:AM41"/>
    <mergeCell ref="AD43:AH43"/>
    <mergeCell ref="AI43:AM43"/>
    <mergeCell ref="AD41:AH41"/>
    <mergeCell ref="T41:X41"/>
    <mergeCell ref="Y41:AC41"/>
    <mergeCell ref="T42:X42"/>
    <mergeCell ref="Y42:AC42"/>
    <mergeCell ref="AD42:AH42"/>
    <mergeCell ref="AI42:AM42"/>
    <mergeCell ref="AN43:AR43"/>
    <mergeCell ref="AS43:AW43"/>
    <mergeCell ref="E43:I43"/>
    <mergeCell ref="J43:N43"/>
    <mergeCell ref="O43:S43"/>
    <mergeCell ref="T43:X43"/>
    <mergeCell ref="Y43:AC43"/>
    <mergeCell ref="E42:I42"/>
    <mergeCell ref="J42:N42"/>
    <mergeCell ref="O42:S42"/>
    <mergeCell ref="AN42:AR42"/>
    <mergeCell ref="AS42:AW4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D85C6"/>
    <outlinePr summaryBelow="0" summaryRight="0"/>
    <pageSetUpPr fitToPage="1"/>
  </sheetPr>
  <dimension ref="A1:GB71"/>
  <sheetViews>
    <sheetView showGridLines="0" topLeftCell="B1" workbookViewId="0">
      <selection activeCell="T7" sqref="T7:X7"/>
    </sheetView>
  </sheetViews>
  <sheetFormatPr baseColWidth="10" defaultColWidth="13.4140625" defaultRowHeight="15" customHeight="1" x14ac:dyDescent="0.35"/>
  <cols>
    <col min="1" max="1" width="3.75" customWidth="1"/>
    <col min="2" max="2" width="30.08203125" customWidth="1"/>
    <col min="3" max="3" width="10.75" customWidth="1"/>
    <col min="4" max="4" width="15.75" customWidth="1"/>
    <col min="5" max="18" width="3" customWidth="1"/>
    <col min="19" max="19" width="25.75" customWidth="1"/>
    <col min="20" max="23" width="3" customWidth="1"/>
    <col min="24" max="24" width="2.75" customWidth="1"/>
    <col min="25" max="48" width="3" customWidth="1"/>
    <col min="49" max="49" width="16.58203125" customWidth="1"/>
    <col min="50" max="78" width="3" customWidth="1"/>
    <col min="79" max="79" width="12.25" customWidth="1"/>
    <col min="80" max="184" width="3" customWidth="1"/>
  </cols>
  <sheetData>
    <row r="1" spans="1:49" ht="21" customHeight="1" x14ac:dyDescent="0.35">
      <c r="A1" s="3"/>
      <c r="B1" s="4" t="s">
        <v>11</v>
      </c>
      <c r="C1" s="4" t="s">
        <v>12</v>
      </c>
      <c r="D1" s="4" t="s">
        <v>13</v>
      </c>
      <c r="E1" s="27" t="s">
        <v>14</v>
      </c>
      <c r="F1" s="28"/>
      <c r="G1" s="28"/>
      <c r="H1" s="28"/>
      <c r="I1" s="28"/>
      <c r="J1" s="27" t="s">
        <v>15</v>
      </c>
      <c r="K1" s="28"/>
      <c r="L1" s="28"/>
      <c r="M1" s="28"/>
      <c r="N1" s="28"/>
      <c r="O1" s="27" t="s">
        <v>16</v>
      </c>
      <c r="P1" s="28"/>
      <c r="Q1" s="28"/>
      <c r="R1" s="28"/>
      <c r="S1" s="29"/>
      <c r="T1" s="27" t="s">
        <v>14</v>
      </c>
      <c r="U1" s="28"/>
      <c r="V1" s="28"/>
      <c r="W1" s="28"/>
      <c r="X1" s="28"/>
      <c r="Y1" s="27" t="s">
        <v>15</v>
      </c>
      <c r="Z1" s="28"/>
      <c r="AA1" s="28"/>
      <c r="AB1" s="28"/>
      <c r="AC1" s="28"/>
      <c r="AD1" s="27" t="s">
        <v>16</v>
      </c>
      <c r="AE1" s="28"/>
      <c r="AF1" s="28"/>
      <c r="AG1" s="28"/>
      <c r="AH1" s="29"/>
      <c r="AI1" s="27" t="s">
        <v>17</v>
      </c>
      <c r="AJ1" s="28"/>
      <c r="AK1" s="28"/>
      <c r="AL1" s="28"/>
      <c r="AM1" s="28"/>
      <c r="AN1" s="27" t="s">
        <v>18</v>
      </c>
      <c r="AO1" s="28"/>
      <c r="AP1" s="28"/>
      <c r="AQ1" s="28"/>
      <c r="AR1" s="28"/>
      <c r="AS1" s="27" t="s">
        <v>19</v>
      </c>
      <c r="AT1" s="28"/>
      <c r="AU1" s="28"/>
      <c r="AV1" s="28"/>
      <c r="AW1" s="29"/>
    </row>
    <row r="2" spans="1:49" ht="21" customHeight="1" x14ac:dyDescent="0.35">
      <c r="A2" s="6"/>
      <c r="B2" s="7" t="s">
        <v>20</v>
      </c>
      <c r="C2" s="7" t="s">
        <v>21</v>
      </c>
      <c r="D2" s="8" t="s">
        <v>22</v>
      </c>
      <c r="E2" s="32">
        <v>441</v>
      </c>
      <c r="F2" s="22"/>
      <c r="G2" s="22"/>
      <c r="H2" s="22"/>
      <c r="I2" s="23"/>
      <c r="J2" s="32">
        <f t="shared" ref="J2:J17" si="0">E2*0.00125</f>
        <v>0.55125000000000002</v>
      </c>
      <c r="K2" s="22"/>
      <c r="L2" s="22"/>
      <c r="M2" s="22"/>
      <c r="N2" s="23"/>
      <c r="O2" s="32">
        <v>1257</v>
      </c>
      <c r="P2" s="22"/>
      <c r="Q2" s="22"/>
      <c r="R2" s="22"/>
      <c r="S2" s="23"/>
      <c r="T2" s="24">
        <v>441</v>
      </c>
      <c r="U2" s="22"/>
      <c r="V2" s="22"/>
      <c r="W2" s="22"/>
      <c r="X2" s="23"/>
      <c r="Y2" s="24">
        <f t="shared" ref="Y2:Y46" si="1">T2*0.001333</f>
        <v>0.58785299999999996</v>
      </c>
      <c r="Z2" s="22"/>
      <c r="AA2" s="22"/>
      <c r="AB2" s="22"/>
      <c r="AC2" s="23"/>
      <c r="AD2" s="24">
        <v>1326</v>
      </c>
      <c r="AE2" s="22"/>
      <c r="AF2" s="22"/>
      <c r="AG2" s="22"/>
      <c r="AH2" s="23"/>
      <c r="AI2" s="26">
        <v>1340</v>
      </c>
      <c r="AJ2" s="22"/>
      <c r="AK2" s="22"/>
      <c r="AL2" s="22"/>
      <c r="AM2" s="23"/>
      <c r="AN2" s="26">
        <v>1420</v>
      </c>
      <c r="AO2" s="22"/>
      <c r="AP2" s="22"/>
      <c r="AQ2" s="22"/>
      <c r="AR2" s="23"/>
      <c r="AS2" s="26"/>
      <c r="AT2" s="22"/>
      <c r="AU2" s="22"/>
      <c r="AV2" s="22"/>
      <c r="AW2" s="23"/>
    </row>
    <row r="3" spans="1:49" ht="21" customHeight="1" x14ac:dyDescent="0.35">
      <c r="A3" s="6"/>
      <c r="B3" s="7" t="s">
        <v>23</v>
      </c>
      <c r="C3" s="7" t="s">
        <v>21</v>
      </c>
      <c r="D3" s="8" t="s">
        <v>24</v>
      </c>
      <c r="E3" s="35">
        <v>450</v>
      </c>
      <c r="F3" s="22"/>
      <c r="G3" s="22"/>
      <c r="H3" s="22"/>
      <c r="I3" s="23"/>
      <c r="J3" s="32">
        <f>E3*0.00125</f>
        <v>0.5625</v>
      </c>
      <c r="K3" s="22"/>
      <c r="L3" s="22"/>
      <c r="M3" s="22"/>
      <c r="N3" s="23"/>
      <c r="O3" s="32">
        <v>1259</v>
      </c>
      <c r="P3" s="22"/>
      <c r="Q3" s="22"/>
      <c r="R3" s="22"/>
      <c r="S3" s="23"/>
      <c r="T3" s="36">
        <v>450</v>
      </c>
      <c r="U3" s="22"/>
      <c r="V3" s="22"/>
      <c r="W3" s="22"/>
      <c r="X3" s="23"/>
      <c r="Y3" s="24">
        <f t="shared" si="1"/>
        <v>0.59984999999999999</v>
      </c>
      <c r="Z3" s="22"/>
      <c r="AA3" s="22"/>
      <c r="AB3" s="22"/>
      <c r="AC3" s="23"/>
      <c r="AD3" s="24">
        <v>1328</v>
      </c>
      <c r="AE3" s="22"/>
      <c r="AF3" s="22"/>
      <c r="AG3" s="22"/>
      <c r="AH3" s="23"/>
      <c r="AI3" s="26">
        <v>1341</v>
      </c>
      <c r="AJ3" s="22"/>
      <c r="AK3" s="22"/>
      <c r="AL3" s="22"/>
      <c r="AM3" s="23"/>
      <c r="AN3" s="26">
        <v>1421</v>
      </c>
      <c r="AO3" s="22"/>
      <c r="AP3" s="22"/>
      <c r="AQ3" s="22"/>
      <c r="AR3" s="23"/>
      <c r="AS3" s="26" t="s">
        <v>99</v>
      </c>
      <c r="AT3" s="22"/>
      <c r="AU3" s="22"/>
      <c r="AV3" s="22"/>
      <c r="AW3" s="23"/>
    </row>
    <row r="4" spans="1:49" ht="21" customHeight="1" x14ac:dyDescent="0.35">
      <c r="A4" s="6"/>
      <c r="B4" s="7" t="s">
        <v>25</v>
      </c>
      <c r="C4" s="7" t="s">
        <v>21</v>
      </c>
      <c r="D4" s="8" t="s">
        <v>26</v>
      </c>
      <c r="E4" s="35">
        <v>445</v>
      </c>
      <c r="F4" s="22"/>
      <c r="G4" s="22"/>
      <c r="H4" s="22"/>
      <c r="I4" s="23"/>
      <c r="J4" s="32">
        <f t="shared" si="0"/>
        <v>0.55625000000000002</v>
      </c>
      <c r="K4" s="22"/>
      <c r="L4" s="22"/>
      <c r="M4" s="22"/>
      <c r="N4" s="23"/>
      <c r="O4" s="32">
        <v>1351</v>
      </c>
      <c r="P4" s="22"/>
      <c r="Q4" s="22"/>
      <c r="R4" s="22"/>
      <c r="S4" s="23"/>
      <c r="T4" s="36">
        <v>445</v>
      </c>
      <c r="U4" s="22"/>
      <c r="V4" s="22"/>
      <c r="W4" s="22"/>
      <c r="X4" s="23"/>
      <c r="Y4" s="24">
        <f t="shared" si="1"/>
        <v>0.59318499999999996</v>
      </c>
      <c r="Z4" s="22"/>
      <c r="AA4" s="22"/>
      <c r="AB4" s="22"/>
      <c r="AC4" s="23"/>
      <c r="AD4" s="24">
        <v>1414</v>
      </c>
      <c r="AE4" s="22"/>
      <c r="AF4" s="22"/>
      <c r="AG4" s="22"/>
      <c r="AH4" s="23"/>
      <c r="AI4" s="26">
        <v>1435</v>
      </c>
      <c r="AJ4" s="22"/>
      <c r="AK4" s="22"/>
      <c r="AL4" s="22"/>
      <c r="AM4" s="23"/>
      <c r="AN4" s="26">
        <v>1515</v>
      </c>
      <c r="AO4" s="22"/>
      <c r="AP4" s="22"/>
      <c r="AQ4" s="22"/>
      <c r="AR4" s="23"/>
      <c r="AS4" s="26"/>
      <c r="AT4" s="22"/>
      <c r="AU4" s="22"/>
      <c r="AV4" s="22"/>
      <c r="AW4" s="23"/>
    </row>
    <row r="5" spans="1:49" ht="21" customHeight="1" x14ac:dyDescent="0.35">
      <c r="A5" s="6"/>
      <c r="B5" s="7" t="s">
        <v>27</v>
      </c>
      <c r="C5" s="7" t="s">
        <v>21</v>
      </c>
      <c r="D5" s="8" t="s">
        <v>28</v>
      </c>
      <c r="E5" s="35">
        <v>439</v>
      </c>
      <c r="F5" s="22"/>
      <c r="G5" s="22"/>
      <c r="H5" s="22"/>
      <c r="I5" s="23"/>
      <c r="J5" s="32">
        <f t="shared" si="0"/>
        <v>0.54874999999999996</v>
      </c>
      <c r="K5" s="22"/>
      <c r="L5" s="22"/>
      <c r="M5" s="22"/>
      <c r="N5" s="23"/>
      <c r="O5" s="32">
        <v>1353</v>
      </c>
      <c r="P5" s="22"/>
      <c r="Q5" s="22"/>
      <c r="R5" s="22"/>
      <c r="S5" s="23"/>
      <c r="T5" s="36">
        <v>439</v>
      </c>
      <c r="U5" s="22"/>
      <c r="V5" s="22"/>
      <c r="W5" s="22"/>
      <c r="X5" s="23"/>
      <c r="Y5" s="24">
        <f t="shared" si="1"/>
        <v>0.58518700000000001</v>
      </c>
      <c r="Z5" s="22"/>
      <c r="AA5" s="22"/>
      <c r="AB5" s="22"/>
      <c r="AC5" s="23"/>
      <c r="AD5" s="24">
        <v>1417</v>
      </c>
      <c r="AE5" s="22"/>
      <c r="AF5" s="22"/>
      <c r="AG5" s="22"/>
      <c r="AH5" s="23"/>
      <c r="AI5" s="26">
        <v>1436</v>
      </c>
      <c r="AJ5" s="22"/>
      <c r="AK5" s="22"/>
      <c r="AL5" s="22"/>
      <c r="AM5" s="23"/>
      <c r="AN5" s="26">
        <v>1516</v>
      </c>
      <c r="AO5" s="22"/>
      <c r="AP5" s="22"/>
      <c r="AQ5" s="22"/>
      <c r="AR5" s="23"/>
      <c r="AS5" s="26"/>
      <c r="AT5" s="22"/>
      <c r="AU5" s="22"/>
      <c r="AV5" s="22"/>
      <c r="AW5" s="23"/>
    </row>
    <row r="6" spans="1:49" ht="21" customHeight="1" x14ac:dyDescent="0.35">
      <c r="A6" s="6"/>
      <c r="B6" s="7" t="s">
        <v>29</v>
      </c>
      <c r="C6" s="7" t="s">
        <v>21</v>
      </c>
      <c r="D6" s="14" t="s">
        <v>30</v>
      </c>
      <c r="E6" s="32">
        <v>471</v>
      </c>
      <c r="F6" s="22"/>
      <c r="G6" s="22"/>
      <c r="H6" s="22"/>
      <c r="I6" s="23"/>
      <c r="J6" s="32">
        <f t="shared" si="0"/>
        <v>0.58875</v>
      </c>
      <c r="K6" s="22"/>
      <c r="L6" s="22"/>
      <c r="M6" s="22"/>
      <c r="N6" s="23"/>
      <c r="O6" s="32">
        <v>1355</v>
      </c>
      <c r="P6" s="22"/>
      <c r="Q6" s="22"/>
      <c r="R6" s="22"/>
      <c r="S6" s="23"/>
      <c r="T6" s="24">
        <v>471</v>
      </c>
      <c r="U6" s="22"/>
      <c r="V6" s="22"/>
      <c r="W6" s="22"/>
      <c r="X6" s="23"/>
      <c r="Y6" s="24">
        <f t="shared" si="1"/>
        <v>0.62784300000000004</v>
      </c>
      <c r="Z6" s="22"/>
      <c r="AA6" s="22"/>
      <c r="AB6" s="22"/>
      <c r="AC6" s="23"/>
      <c r="AD6" s="24">
        <v>1420</v>
      </c>
      <c r="AE6" s="22"/>
      <c r="AF6" s="22"/>
      <c r="AG6" s="22"/>
      <c r="AH6" s="23"/>
      <c r="AI6" s="26">
        <v>1437</v>
      </c>
      <c r="AJ6" s="22"/>
      <c r="AK6" s="22"/>
      <c r="AL6" s="22"/>
      <c r="AM6" s="23"/>
      <c r="AN6" s="26">
        <v>1517</v>
      </c>
      <c r="AO6" s="22"/>
      <c r="AP6" s="22"/>
      <c r="AQ6" s="22"/>
      <c r="AR6" s="23"/>
      <c r="AS6" s="26"/>
      <c r="AT6" s="22"/>
      <c r="AU6" s="22"/>
      <c r="AV6" s="22"/>
      <c r="AW6" s="23"/>
    </row>
    <row r="7" spans="1:49" ht="21" customHeight="1" x14ac:dyDescent="0.35">
      <c r="A7" s="6"/>
      <c r="B7" s="7" t="s">
        <v>31</v>
      </c>
      <c r="C7" s="7" t="s">
        <v>21</v>
      </c>
      <c r="D7" s="14" t="s">
        <v>32</v>
      </c>
      <c r="E7" s="32">
        <v>437</v>
      </c>
      <c r="F7" s="22"/>
      <c r="G7" s="22"/>
      <c r="H7" s="22"/>
      <c r="I7" s="23"/>
      <c r="J7" s="32">
        <f t="shared" si="0"/>
        <v>0.54625000000000001</v>
      </c>
      <c r="K7" s="22"/>
      <c r="L7" s="22"/>
      <c r="M7" s="22"/>
      <c r="N7" s="23"/>
      <c r="O7" s="32">
        <v>1359</v>
      </c>
      <c r="P7" s="22"/>
      <c r="Q7" s="22"/>
      <c r="R7" s="22"/>
      <c r="S7" s="23"/>
      <c r="T7" s="24">
        <v>437</v>
      </c>
      <c r="U7" s="22"/>
      <c r="V7" s="22"/>
      <c r="W7" s="22"/>
      <c r="X7" s="23"/>
      <c r="Y7" s="24">
        <f t="shared" si="1"/>
        <v>0.58252099999999996</v>
      </c>
      <c r="Z7" s="22"/>
      <c r="AA7" s="22"/>
      <c r="AB7" s="22"/>
      <c r="AC7" s="23"/>
      <c r="AD7" s="24">
        <v>1422</v>
      </c>
      <c r="AE7" s="22"/>
      <c r="AF7" s="22"/>
      <c r="AG7" s="22"/>
      <c r="AH7" s="23"/>
      <c r="AI7" s="26">
        <v>1438</v>
      </c>
      <c r="AJ7" s="22"/>
      <c r="AK7" s="22"/>
      <c r="AL7" s="22"/>
      <c r="AM7" s="23"/>
      <c r="AN7" s="26">
        <v>1518</v>
      </c>
      <c r="AO7" s="22"/>
      <c r="AP7" s="22"/>
      <c r="AQ7" s="22"/>
      <c r="AR7" s="23"/>
      <c r="AS7" s="26"/>
      <c r="AT7" s="22"/>
      <c r="AU7" s="22"/>
      <c r="AV7" s="22"/>
      <c r="AW7" s="23"/>
    </row>
    <row r="8" spans="1:49" ht="21" customHeight="1" x14ac:dyDescent="0.35">
      <c r="A8" s="6"/>
      <c r="B8" s="7" t="s">
        <v>33</v>
      </c>
      <c r="C8" s="7" t="s">
        <v>21</v>
      </c>
      <c r="D8" s="14" t="s">
        <v>34</v>
      </c>
      <c r="E8" s="32">
        <v>452</v>
      </c>
      <c r="F8" s="22"/>
      <c r="G8" s="22"/>
      <c r="H8" s="22"/>
      <c r="I8" s="23"/>
      <c r="J8" s="32">
        <f t="shared" si="0"/>
        <v>0.56500000000000006</v>
      </c>
      <c r="K8" s="22"/>
      <c r="L8" s="22"/>
      <c r="M8" s="22"/>
      <c r="N8" s="23"/>
      <c r="O8" s="32">
        <v>1402</v>
      </c>
      <c r="P8" s="22"/>
      <c r="Q8" s="22"/>
      <c r="R8" s="22"/>
      <c r="S8" s="23"/>
      <c r="T8" s="24">
        <v>452</v>
      </c>
      <c r="U8" s="22"/>
      <c r="V8" s="22"/>
      <c r="W8" s="22"/>
      <c r="X8" s="23"/>
      <c r="Y8" s="24">
        <f t="shared" si="1"/>
        <v>0.60251599999999994</v>
      </c>
      <c r="Z8" s="22"/>
      <c r="AA8" s="22"/>
      <c r="AB8" s="22"/>
      <c r="AC8" s="23"/>
      <c r="AD8" s="24">
        <v>1425</v>
      </c>
      <c r="AE8" s="22"/>
      <c r="AF8" s="22"/>
      <c r="AG8" s="22"/>
      <c r="AH8" s="23"/>
      <c r="AI8" s="26">
        <v>1439</v>
      </c>
      <c r="AJ8" s="22"/>
      <c r="AK8" s="22"/>
      <c r="AL8" s="22"/>
      <c r="AM8" s="23"/>
      <c r="AN8" s="26">
        <v>1519</v>
      </c>
      <c r="AO8" s="22"/>
      <c r="AP8" s="22"/>
      <c r="AQ8" s="22"/>
      <c r="AR8" s="23"/>
      <c r="AS8" s="26"/>
      <c r="AT8" s="22"/>
      <c r="AU8" s="22"/>
      <c r="AV8" s="22"/>
      <c r="AW8" s="23"/>
    </row>
    <row r="9" spans="1:49" ht="21" customHeight="1" x14ac:dyDescent="0.35">
      <c r="A9" s="6"/>
      <c r="B9" s="7" t="s">
        <v>35</v>
      </c>
      <c r="C9" s="7" t="s">
        <v>21</v>
      </c>
      <c r="D9" s="14" t="s">
        <v>36</v>
      </c>
      <c r="E9" s="32">
        <v>294</v>
      </c>
      <c r="F9" s="22"/>
      <c r="G9" s="22"/>
      <c r="H9" s="22"/>
      <c r="I9" s="23"/>
      <c r="J9" s="32">
        <f t="shared" si="0"/>
        <v>0.36749999999999999</v>
      </c>
      <c r="K9" s="22"/>
      <c r="L9" s="22"/>
      <c r="M9" s="22"/>
      <c r="N9" s="23"/>
      <c r="O9" s="32">
        <v>1443</v>
      </c>
      <c r="P9" s="22"/>
      <c r="Q9" s="22"/>
      <c r="R9" s="22"/>
      <c r="S9" s="23"/>
      <c r="T9" s="24">
        <v>294</v>
      </c>
      <c r="U9" s="22"/>
      <c r="V9" s="22"/>
      <c r="W9" s="22"/>
      <c r="X9" s="23"/>
      <c r="Y9" s="24">
        <f t="shared" si="1"/>
        <v>0.39190199999999997</v>
      </c>
      <c r="Z9" s="22"/>
      <c r="AA9" s="22"/>
      <c r="AB9" s="22"/>
      <c r="AC9" s="23"/>
      <c r="AD9" s="24">
        <v>1505</v>
      </c>
      <c r="AE9" s="22"/>
      <c r="AF9" s="22"/>
      <c r="AG9" s="22"/>
      <c r="AH9" s="23"/>
      <c r="AI9" s="26">
        <v>1528</v>
      </c>
      <c r="AJ9" s="22"/>
      <c r="AK9" s="22"/>
      <c r="AL9" s="22"/>
      <c r="AM9" s="23"/>
      <c r="AN9" s="26">
        <v>1608</v>
      </c>
      <c r="AO9" s="22"/>
      <c r="AP9" s="22"/>
      <c r="AQ9" s="22"/>
      <c r="AR9" s="23"/>
      <c r="AS9" s="26"/>
      <c r="AT9" s="22"/>
      <c r="AU9" s="22"/>
      <c r="AV9" s="22"/>
      <c r="AW9" s="23"/>
    </row>
    <row r="10" spans="1:49" ht="21" customHeight="1" x14ac:dyDescent="0.35">
      <c r="A10" s="2"/>
      <c r="B10" s="7" t="s">
        <v>37</v>
      </c>
      <c r="C10" s="7" t="s">
        <v>38</v>
      </c>
      <c r="D10" s="8" t="s">
        <v>39</v>
      </c>
      <c r="E10" s="32">
        <v>450</v>
      </c>
      <c r="F10" s="22"/>
      <c r="G10" s="22"/>
      <c r="H10" s="22"/>
      <c r="I10" s="23"/>
      <c r="J10" s="32">
        <f t="shared" si="0"/>
        <v>0.5625</v>
      </c>
      <c r="K10" s="22"/>
      <c r="L10" s="22"/>
      <c r="M10" s="22"/>
      <c r="N10" s="23"/>
      <c r="O10" s="32">
        <v>1148</v>
      </c>
      <c r="P10" s="22"/>
      <c r="Q10" s="22"/>
      <c r="R10" s="22"/>
      <c r="S10" s="23"/>
      <c r="T10" s="24">
        <v>450</v>
      </c>
      <c r="U10" s="22"/>
      <c r="V10" s="22"/>
      <c r="W10" s="22"/>
      <c r="X10" s="23"/>
      <c r="Y10" s="24">
        <f t="shared" si="1"/>
        <v>0.59984999999999999</v>
      </c>
      <c r="Z10" s="22"/>
      <c r="AA10" s="22"/>
      <c r="AB10" s="22"/>
      <c r="AC10" s="23"/>
      <c r="AD10" s="24">
        <v>1207</v>
      </c>
      <c r="AE10" s="22"/>
      <c r="AF10" s="22"/>
      <c r="AG10" s="22"/>
      <c r="AH10" s="23"/>
      <c r="AI10" s="26">
        <v>1231</v>
      </c>
      <c r="AJ10" s="22"/>
      <c r="AK10" s="22"/>
      <c r="AL10" s="22"/>
      <c r="AM10" s="23"/>
      <c r="AN10" s="26">
        <v>1311</v>
      </c>
      <c r="AO10" s="22"/>
      <c r="AP10" s="22"/>
      <c r="AQ10" s="22"/>
      <c r="AR10" s="23"/>
      <c r="AS10" s="26"/>
      <c r="AT10" s="22"/>
      <c r="AU10" s="22"/>
      <c r="AV10" s="22"/>
      <c r="AW10" s="23"/>
    </row>
    <row r="11" spans="1:49" ht="21" customHeight="1" x14ac:dyDescent="0.35">
      <c r="A11" s="2"/>
      <c r="B11" s="7" t="s">
        <v>40</v>
      </c>
      <c r="C11" s="7" t="s">
        <v>38</v>
      </c>
      <c r="D11" s="8" t="s">
        <v>24</v>
      </c>
      <c r="E11" s="35">
        <v>453</v>
      </c>
      <c r="F11" s="22"/>
      <c r="G11" s="22"/>
      <c r="H11" s="22"/>
      <c r="I11" s="23"/>
      <c r="J11" s="32">
        <f t="shared" si="0"/>
        <v>0.56625000000000003</v>
      </c>
      <c r="K11" s="22"/>
      <c r="L11" s="22"/>
      <c r="M11" s="22"/>
      <c r="N11" s="23"/>
      <c r="O11" s="32">
        <v>1151</v>
      </c>
      <c r="P11" s="22"/>
      <c r="Q11" s="22"/>
      <c r="R11" s="22"/>
      <c r="S11" s="23"/>
      <c r="T11" s="36">
        <v>453</v>
      </c>
      <c r="U11" s="22"/>
      <c r="V11" s="22"/>
      <c r="W11" s="22"/>
      <c r="X11" s="23"/>
      <c r="Y11" s="24">
        <f t="shared" si="1"/>
        <v>0.60384899999999997</v>
      </c>
      <c r="Z11" s="22"/>
      <c r="AA11" s="22"/>
      <c r="AB11" s="22"/>
      <c r="AC11" s="23"/>
      <c r="AD11" s="24">
        <v>1209</v>
      </c>
      <c r="AE11" s="22"/>
      <c r="AF11" s="22"/>
      <c r="AG11" s="22"/>
      <c r="AH11" s="23"/>
      <c r="AI11" s="26">
        <v>1232</v>
      </c>
      <c r="AJ11" s="22"/>
      <c r="AK11" s="22"/>
      <c r="AL11" s="22"/>
      <c r="AM11" s="23"/>
      <c r="AN11" s="26">
        <v>1312</v>
      </c>
      <c r="AO11" s="22"/>
      <c r="AP11" s="22"/>
      <c r="AQ11" s="22"/>
      <c r="AR11" s="23"/>
      <c r="AS11" s="26"/>
      <c r="AT11" s="22"/>
      <c r="AU11" s="22"/>
      <c r="AV11" s="22"/>
      <c r="AW11" s="23"/>
    </row>
    <row r="12" spans="1:49" ht="21" customHeight="1" x14ac:dyDescent="0.35">
      <c r="A12" s="2"/>
      <c r="B12" s="7" t="s">
        <v>41</v>
      </c>
      <c r="C12" s="7" t="s">
        <v>38</v>
      </c>
      <c r="D12" s="8" t="s">
        <v>42</v>
      </c>
      <c r="E12" s="35">
        <v>459</v>
      </c>
      <c r="F12" s="22"/>
      <c r="G12" s="22"/>
      <c r="H12" s="22"/>
      <c r="I12" s="23"/>
      <c r="J12" s="32">
        <f t="shared" si="0"/>
        <v>0.57374999999999998</v>
      </c>
      <c r="K12" s="22"/>
      <c r="L12" s="22"/>
      <c r="M12" s="22"/>
      <c r="N12" s="23"/>
      <c r="O12" s="32">
        <v>1153</v>
      </c>
      <c r="P12" s="22"/>
      <c r="Q12" s="22"/>
      <c r="R12" s="22"/>
      <c r="S12" s="23"/>
      <c r="T12" s="36">
        <v>459</v>
      </c>
      <c r="U12" s="22"/>
      <c r="V12" s="22"/>
      <c r="W12" s="22"/>
      <c r="X12" s="23"/>
      <c r="Y12" s="24">
        <f t="shared" si="1"/>
        <v>0.61184700000000003</v>
      </c>
      <c r="Z12" s="22"/>
      <c r="AA12" s="22"/>
      <c r="AB12" s="22"/>
      <c r="AC12" s="23"/>
      <c r="AD12" s="24">
        <v>1211</v>
      </c>
      <c r="AE12" s="22"/>
      <c r="AF12" s="22"/>
      <c r="AG12" s="22"/>
      <c r="AH12" s="23"/>
      <c r="AI12" s="26">
        <v>1233</v>
      </c>
      <c r="AJ12" s="22"/>
      <c r="AK12" s="22"/>
      <c r="AL12" s="22"/>
      <c r="AM12" s="23"/>
      <c r="AN12" s="26">
        <v>1313</v>
      </c>
      <c r="AO12" s="22"/>
      <c r="AP12" s="22"/>
      <c r="AQ12" s="22"/>
      <c r="AR12" s="23"/>
      <c r="AS12" s="26"/>
      <c r="AT12" s="22"/>
      <c r="AU12" s="22"/>
      <c r="AV12" s="22"/>
      <c r="AW12" s="23"/>
    </row>
    <row r="13" spans="1:49" ht="21" customHeight="1" x14ac:dyDescent="0.35">
      <c r="A13" s="2"/>
      <c r="B13" s="7" t="s">
        <v>43</v>
      </c>
      <c r="C13" s="7" t="s">
        <v>38</v>
      </c>
      <c r="D13" s="8" t="s">
        <v>44</v>
      </c>
      <c r="E13" s="35">
        <v>524</v>
      </c>
      <c r="F13" s="22"/>
      <c r="G13" s="22"/>
      <c r="H13" s="22"/>
      <c r="I13" s="23"/>
      <c r="J13" s="32">
        <f t="shared" si="0"/>
        <v>0.65500000000000003</v>
      </c>
      <c r="K13" s="22"/>
      <c r="L13" s="22"/>
      <c r="M13" s="22"/>
      <c r="N13" s="23"/>
      <c r="O13" s="32">
        <v>1156</v>
      </c>
      <c r="P13" s="22"/>
      <c r="Q13" s="22"/>
      <c r="R13" s="22"/>
      <c r="S13" s="23"/>
      <c r="T13" s="36">
        <v>524</v>
      </c>
      <c r="U13" s="22"/>
      <c r="V13" s="22"/>
      <c r="W13" s="22"/>
      <c r="X13" s="23"/>
      <c r="Y13" s="24">
        <f t="shared" si="1"/>
        <v>0.698492</v>
      </c>
      <c r="Z13" s="22"/>
      <c r="AA13" s="22"/>
      <c r="AB13" s="22"/>
      <c r="AC13" s="23"/>
      <c r="AD13" s="24">
        <v>1214</v>
      </c>
      <c r="AE13" s="22"/>
      <c r="AF13" s="22"/>
      <c r="AG13" s="22"/>
      <c r="AH13" s="23"/>
      <c r="AI13" s="26">
        <v>1234</v>
      </c>
      <c r="AJ13" s="22"/>
      <c r="AK13" s="22"/>
      <c r="AL13" s="22"/>
      <c r="AM13" s="23"/>
      <c r="AN13" s="26">
        <v>1314</v>
      </c>
      <c r="AO13" s="22"/>
      <c r="AP13" s="22"/>
      <c r="AQ13" s="22"/>
      <c r="AR13" s="23"/>
      <c r="AS13" s="26" t="s">
        <v>100</v>
      </c>
      <c r="AT13" s="22"/>
      <c r="AU13" s="22"/>
      <c r="AV13" s="22"/>
      <c r="AW13" s="23"/>
    </row>
    <row r="14" spans="1:49" ht="21" customHeight="1" x14ac:dyDescent="0.35">
      <c r="A14" s="2"/>
      <c r="B14" s="7" t="s">
        <v>45</v>
      </c>
      <c r="C14" s="7" t="s">
        <v>38</v>
      </c>
      <c r="D14" s="14" t="s">
        <v>46</v>
      </c>
      <c r="E14" s="32">
        <v>293</v>
      </c>
      <c r="F14" s="22"/>
      <c r="G14" s="22"/>
      <c r="H14" s="22"/>
      <c r="I14" s="23"/>
      <c r="J14" s="32">
        <f t="shared" si="0"/>
        <v>0.36625000000000002</v>
      </c>
      <c r="K14" s="22"/>
      <c r="L14" s="22"/>
      <c r="M14" s="22"/>
      <c r="N14" s="23"/>
      <c r="O14" s="32">
        <v>1158</v>
      </c>
      <c r="P14" s="22"/>
      <c r="Q14" s="22"/>
      <c r="R14" s="22"/>
      <c r="S14" s="23"/>
      <c r="T14" s="24">
        <v>293</v>
      </c>
      <c r="U14" s="22"/>
      <c r="V14" s="22"/>
      <c r="W14" s="22"/>
      <c r="X14" s="23"/>
      <c r="Y14" s="24">
        <f t="shared" si="1"/>
        <v>0.390569</v>
      </c>
      <c r="Z14" s="22"/>
      <c r="AA14" s="22"/>
      <c r="AB14" s="22"/>
      <c r="AC14" s="23"/>
      <c r="AD14" s="24">
        <v>1216</v>
      </c>
      <c r="AE14" s="22"/>
      <c r="AF14" s="22"/>
      <c r="AG14" s="22"/>
      <c r="AH14" s="23"/>
      <c r="AI14" s="26">
        <v>1235</v>
      </c>
      <c r="AJ14" s="22"/>
      <c r="AK14" s="22"/>
      <c r="AL14" s="22"/>
      <c r="AM14" s="23"/>
      <c r="AN14" s="26">
        <v>1315</v>
      </c>
      <c r="AO14" s="22"/>
      <c r="AP14" s="22"/>
      <c r="AQ14" s="22"/>
      <c r="AR14" s="23"/>
      <c r="AS14" s="26"/>
      <c r="AT14" s="22"/>
      <c r="AU14" s="22"/>
      <c r="AV14" s="22"/>
      <c r="AW14" s="23"/>
    </row>
    <row r="15" spans="1:49" ht="21" customHeight="1" x14ac:dyDescent="0.35">
      <c r="A15" s="2"/>
      <c r="B15" s="7" t="s">
        <v>47</v>
      </c>
      <c r="C15" s="7" t="s">
        <v>38</v>
      </c>
      <c r="D15" s="14" t="s">
        <v>48</v>
      </c>
      <c r="E15" s="32">
        <v>275</v>
      </c>
      <c r="F15" s="22"/>
      <c r="G15" s="22"/>
      <c r="H15" s="22"/>
      <c r="I15" s="23"/>
      <c r="J15" s="32">
        <f t="shared" si="0"/>
        <v>0.34375</v>
      </c>
      <c r="K15" s="22"/>
      <c r="L15" s="22"/>
      <c r="M15" s="22"/>
      <c r="N15" s="23"/>
      <c r="O15" s="32">
        <v>1245</v>
      </c>
      <c r="P15" s="22"/>
      <c r="Q15" s="22"/>
      <c r="R15" s="22"/>
      <c r="S15" s="23"/>
      <c r="T15" s="24">
        <v>275</v>
      </c>
      <c r="U15" s="22"/>
      <c r="V15" s="22"/>
      <c r="W15" s="22"/>
      <c r="X15" s="23"/>
      <c r="Y15" s="24">
        <f t="shared" si="1"/>
        <v>0.36657499999999998</v>
      </c>
      <c r="Z15" s="22"/>
      <c r="AA15" s="22"/>
      <c r="AB15" s="22"/>
      <c r="AC15" s="23"/>
      <c r="AD15" s="24">
        <v>1312</v>
      </c>
      <c r="AE15" s="22"/>
      <c r="AF15" s="22"/>
      <c r="AG15" s="22"/>
      <c r="AH15" s="23"/>
      <c r="AI15" s="26">
        <v>1337</v>
      </c>
      <c r="AJ15" s="22"/>
      <c r="AK15" s="22"/>
      <c r="AL15" s="22"/>
      <c r="AM15" s="23"/>
      <c r="AN15" s="26">
        <v>1417</v>
      </c>
      <c r="AO15" s="22"/>
      <c r="AP15" s="22"/>
      <c r="AQ15" s="22"/>
      <c r="AR15" s="23"/>
      <c r="AS15" s="26" t="s">
        <v>100</v>
      </c>
      <c r="AT15" s="22"/>
      <c r="AU15" s="22"/>
      <c r="AV15" s="22"/>
      <c r="AW15" s="23"/>
    </row>
    <row r="16" spans="1:49" ht="21" customHeight="1" x14ac:dyDescent="0.35">
      <c r="A16" s="2"/>
      <c r="B16" s="7" t="s">
        <v>49</v>
      </c>
      <c r="C16" s="7" t="s">
        <v>38</v>
      </c>
      <c r="D16" s="14" t="s">
        <v>34</v>
      </c>
      <c r="E16" s="32">
        <v>455</v>
      </c>
      <c r="F16" s="22"/>
      <c r="G16" s="22"/>
      <c r="H16" s="22"/>
      <c r="I16" s="23"/>
      <c r="J16" s="32">
        <f t="shared" si="0"/>
        <v>0.56874999999999998</v>
      </c>
      <c r="K16" s="22"/>
      <c r="L16" s="22"/>
      <c r="M16" s="22"/>
      <c r="N16" s="23"/>
      <c r="O16" s="32">
        <v>1248</v>
      </c>
      <c r="P16" s="22"/>
      <c r="Q16" s="22"/>
      <c r="R16" s="22"/>
      <c r="S16" s="23"/>
      <c r="T16" s="24">
        <v>455</v>
      </c>
      <c r="U16" s="22"/>
      <c r="V16" s="22"/>
      <c r="W16" s="22"/>
      <c r="X16" s="23"/>
      <c r="Y16" s="24">
        <f t="shared" si="1"/>
        <v>0.60651500000000003</v>
      </c>
      <c r="Z16" s="22"/>
      <c r="AA16" s="22"/>
      <c r="AB16" s="22"/>
      <c r="AC16" s="23"/>
      <c r="AD16" s="24">
        <v>1315</v>
      </c>
      <c r="AE16" s="22"/>
      <c r="AF16" s="22"/>
      <c r="AG16" s="22"/>
      <c r="AH16" s="23"/>
      <c r="AI16" s="26">
        <v>1338</v>
      </c>
      <c r="AJ16" s="22"/>
      <c r="AK16" s="22"/>
      <c r="AL16" s="22"/>
      <c r="AM16" s="23"/>
      <c r="AN16" s="26">
        <v>1418</v>
      </c>
      <c r="AO16" s="22"/>
      <c r="AP16" s="22"/>
      <c r="AQ16" s="22"/>
      <c r="AR16" s="23"/>
      <c r="AS16" s="26"/>
      <c r="AT16" s="22"/>
      <c r="AU16" s="22"/>
      <c r="AV16" s="22"/>
      <c r="AW16" s="23"/>
    </row>
    <row r="17" spans="1:49" ht="21" customHeight="1" x14ac:dyDescent="0.35">
      <c r="A17" s="2"/>
      <c r="B17" s="7" t="s">
        <v>50</v>
      </c>
      <c r="C17" s="7" t="s">
        <v>38</v>
      </c>
      <c r="D17" s="14" t="s">
        <v>51</v>
      </c>
      <c r="E17" s="32">
        <v>230</v>
      </c>
      <c r="F17" s="22"/>
      <c r="G17" s="22"/>
      <c r="H17" s="22"/>
      <c r="I17" s="23"/>
      <c r="J17" s="32">
        <f t="shared" si="0"/>
        <v>0.28750000000000003</v>
      </c>
      <c r="K17" s="22"/>
      <c r="L17" s="22"/>
      <c r="M17" s="22"/>
      <c r="N17" s="23"/>
      <c r="O17" s="32">
        <v>1253</v>
      </c>
      <c r="P17" s="22"/>
      <c r="Q17" s="22"/>
      <c r="R17" s="22"/>
      <c r="S17" s="23"/>
      <c r="T17" s="24">
        <v>230</v>
      </c>
      <c r="U17" s="22"/>
      <c r="V17" s="22"/>
      <c r="W17" s="22"/>
      <c r="X17" s="23"/>
      <c r="Y17" s="24">
        <f t="shared" si="1"/>
        <v>0.30658999999999997</v>
      </c>
      <c r="Z17" s="22"/>
      <c r="AA17" s="22"/>
      <c r="AB17" s="22"/>
      <c r="AC17" s="23"/>
      <c r="AD17" s="24">
        <v>1318</v>
      </c>
      <c r="AE17" s="22"/>
      <c r="AF17" s="22"/>
      <c r="AG17" s="22"/>
      <c r="AH17" s="23"/>
      <c r="AI17" s="26">
        <v>1339</v>
      </c>
      <c r="AJ17" s="22"/>
      <c r="AK17" s="22"/>
      <c r="AL17" s="22"/>
      <c r="AM17" s="23"/>
      <c r="AN17" s="26">
        <v>1419</v>
      </c>
      <c r="AO17" s="22"/>
      <c r="AP17" s="22"/>
      <c r="AQ17" s="22"/>
      <c r="AR17" s="23"/>
      <c r="AS17" s="26"/>
      <c r="AT17" s="22"/>
      <c r="AU17" s="22"/>
      <c r="AV17" s="22"/>
      <c r="AW17" s="23"/>
    </row>
    <row r="18" spans="1:49" ht="21" customHeight="1" x14ac:dyDescent="0.35">
      <c r="A18" s="2"/>
      <c r="B18" s="7" t="s">
        <v>52</v>
      </c>
      <c r="C18" s="7" t="s">
        <v>53</v>
      </c>
      <c r="D18" s="8" t="s">
        <v>39</v>
      </c>
      <c r="E18" s="31">
        <v>486</v>
      </c>
      <c r="F18" s="22"/>
      <c r="G18" s="22"/>
      <c r="H18" s="22"/>
      <c r="I18" s="23"/>
      <c r="J18" s="32">
        <f t="shared" ref="J18:J25" si="2">E18*0.0012</f>
        <v>0.58319999999999994</v>
      </c>
      <c r="K18" s="22"/>
      <c r="L18" s="22"/>
      <c r="M18" s="22"/>
      <c r="N18" s="23"/>
      <c r="O18" s="31">
        <v>838</v>
      </c>
      <c r="P18" s="22"/>
      <c r="Q18" s="22"/>
      <c r="R18" s="22"/>
      <c r="S18" s="23"/>
      <c r="T18" s="25">
        <v>486</v>
      </c>
      <c r="U18" s="22"/>
      <c r="V18" s="22"/>
      <c r="W18" s="22"/>
      <c r="X18" s="23"/>
      <c r="Y18" s="24">
        <f t="shared" si="1"/>
        <v>0.64783800000000002</v>
      </c>
      <c r="Z18" s="22"/>
      <c r="AA18" s="22"/>
      <c r="AB18" s="22"/>
      <c r="AC18" s="23"/>
      <c r="AD18" s="25">
        <v>857</v>
      </c>
      <c r="AE18" s="22"/>
      <c r="AF18" s="22"/>
      <c r="AG18" s="22"/>
      <c r="AH18" s="23"/>
      <c r="AI18" s="21">
        <v>927</v>
      </c>
      <c r="AJ18" s="22"/>
      <c r="AK18" s="22"/>
      <c r="AL18" s="22"/>
      <c r="AM18" s="23"/>
      <c r="AN18" s="21">
        <v>1007</v>
      </c>
      <c r="AO18" s="22"/>
      <c r="AP18" s="22"/>
      <c r="AQ18" s="22"/>
      <c r="AR18" s="23"/>
      <c r="AS18" s="21"/>
      <c r="AT18" s="22"/>
      <c r="AU18" s="22"/>
      <c r="AV18" s="22"/>
      <c r="AW18" s="23"/>
    </row>
    <row r="19" spans="1:49" ht="21" customHeight="1" x14ac:dyDescent="0.35">
      <c r="A19" s="2"/>
      <c r="B19" s="7" t="s">
        <v>54</v>
      </c>
      <c r="C19" s="7" t="s">
        <v>53</v>
      </c>
      <c r="D19" s="8" t="s">
        <v>55</v>
      </c>
      <c r="E19" s="33">
        <v>424</v>
      </c>
      <c r="F19" s="22"/>
      <c r="G19" s="22"/>
      <c r="H19" s="22"/>
      <c r="I19" s="23"/>
      <c r="J19" s="32">
        <f t="shared" si="2"/>
        <v>0.50879999999999992</v>
      </c>
      <c r="K19" s="22"/>
      <c r="L19" s="22"/>
      <c r="M19" s="22"/>
      <c r="N19" s="23"/>
      <c r="O19" s="31">
        <v>840</v>
      </c>
      <c r="P19" s="22"/>
      <c r="Q19" s="22"/>
      <c r="R19" s="22"/>
      <c r="S19" s="23"/>
      <c r="T19" s="34">
        <v>424</v>
      </c>
      <c r="U19" s="22"/>
      <c r="V19" s="22"/>
      <c r="W19" s="22"/>
      <c r="X19" s="23"/>
      <c r="Y19" s="24">
        <f t="shared" si="1"/>
        <v>0.56519200000000003</v>
      </c>
      <c r="Z19" s="22"/>
      <c r="AA19" s="22"/>
      <c r="AB19" s="22"/>
      <c r="AC19" s="23"/>
      <c r="AD19" s="25">
        <v>859</v>
      </c>
      <c r="AE19" s="22"/>
      <c r="AF19" s="22"/>
      <c r="AG19" s="22"/>
      <c r="AH19" s="23"/>
      <c r="AI19" s="21">
        <v>928</v>
      </c>
      <c r="AJ19" s="22"/>
      <c r="AK19" s="22"/>
      <c r="AL19" s="22"/>
      <c r="AM19" s="23"/>
      <c r="AN19" s="21">
        <v>1008</v>
      </c>
      <c r="AO19" s="22"/>
      <c r="AP19" s="22"/>
      <c r="AQ19" s="22"/>
      <c r="AR19" s="23"/>
      <c r="AS19" s="21"/>
      <c r="AT19" s="22"/>
      <c r="AU19" s="22"/>
      <c r="AV19" s="22"/>
      <c r="AW19" s="23"/>
    </row>
    <row r="20" spans="1:49" ht="21" customHeight="1" x14ac:dyDescent="0.35">
      <c r="A20" s="2"/>
      <c r="B20" s="7" t="s">
        <v>56</v>
      </c>
      <c r="C20" s="7" t="s">
        <v>53</v>
      </c>
      <c r="D20" s="8" t="s">
        <v>57</v>
      </c>
      <c r="E20" s="33">
        <v>272</v>
      </c>
      <c r="F20" s="22"/>
      <c r="G20" s="22"/>
      <c r="H20" s="22"/>
      <c r="I20" s="23"/>
      <c r="J20" s="32">
        <f t="shared" si="2"/>
        <v>0.32639999999999997</v>
      </c>
      <c r="K20" s="22"/>
      <c r="L20" s="22"/>
      <c r="M20" s="22"/>
      <c r="N20" s="23"/>
      <c r="O20" s="31">
        <v>843</v>
      </c>
      <c r="P20" s="22"/>
      <c r="Q20" s="22"/>
      <c r="R20" s="22"/>
      <c r="S20" s="23"/>
      <c r="T20" s="34">
        <v>272</v>
      </c>
      <c r="U20" s="22"/>
      <c r="V20" s="22"/>
      <c r="W20" s="22"/>
      <c r="X20" s="23"/>
      <c r="Y20" s="24">
        <f t="shared" si="1"/>
        <v>0.36257600000000001</v>
      </c>
      <c r="Z20" s="22"/>
      <c r="AA20" s="22"/>
      <c r="AB20" s="22"/>
      <c r="AC20" s="23"/>
      <c r="AD20" s="25">
        <v>902</v>
      </c>
      <c r="AE20" s="22"/>
      <c r="AF20" s="22"/>
      <c r="AG20" s="22"/>
      <c r="AH20" s="23"/>
      <c r="AI20" s="21">
        <v>929</v>
      </c>
      <c r="AJ20" s="22"/>
      <c r="AK20" s="22"/>
      <c r="AL20" s="22"/>
      <c r="AM20" s="23"/>
      <c r="AN20" s="21">
        <v>1009</v>
      </c>
      <c r="AO20" s="22"/>
      <c r="AP20" s="22"/>
      <c r="AQ20" s="22"/>
      <c r="AR20" s="23"/>
      <c r="AS20" s="21"/>
      <c r="AT20" s="22"/>
      <c r="AU20" s="22"/>
      <c r="AV20" s="22"/>
      <c r="AW20" s="23"/>
    </row>
    <row r="21" spans="1:49" ht="21" customHeight="1" x14ac:dyDescent="0.35">
      <c r="A21" s="2"/>
      <c r="B21" s="7" t="s">
        <v>58</v>
      </c>
      <c r="C21" s="7" t="s">
        <v>53</v>
      </c>
      <c r="D21" s="8" t="s">
        <v>59</v>
      </c>
      <c r="E21" s="33">
        <v>281</v>
      </c>
      <c r="F21" s="22"/>
      <c r="G21" s="22"/>
      <c r="H21" s="22"/>
      <c r="I21" s="23"/>
      <c r="J21" s="32">
        <f t="shared" si="2"/>
        <v>0.33719999999999994</v>
      </c>
      <c r="K21" s="22"/>
      <c r="L21" s="22"/>
      <c r="M21" s="22"/>
      <c r="N21" s="23"/>
      <c r="O21" s="31">
        <v>845</v>
      </c>
      <c r="P21" s="22"/>
      <c r="Q21" s="22"/>
      <c r="R21" s="22"/>
      <c r="S21" s="23"/>
      <c r="T21" s="34">
        <v>281</v>
      </c>
      <c r="U21" s="22"/>
      <c r="V21" s="22"/>
      <c r="W21" s="22"/>
      <c r="X21" s="23"/>
      <c r="Y21" s="24">
        <f t="shared" si="1"/>
        <v>0.37457299999999999</v>
      </c>
      <c r="Z21" s="22"/>
      <c r="AA21" s="22"/>
      <c r="AB21" s="22"/>
      <c r="AC21" s="23"/>
      <c r="AD21" s="25">
        <v>904</v>
      </c>
      <c r="AE21" s="22"/>
      <c r="AF21" s="22"/>
      <c r="AG21" s="22"/>
      <c r="AH21" s="23"/>
      <c r="AI21" s="21">
        <v>930</v>
      </c>
      <c r="AJ21" s="22"/>
      <c r="AK21" s="22"/>
      <c r="AL21" s="22"/>
      <c r="AM21" s="23"/>
      <c r="AN21" s="21">
        <v>1010</v>
      </c>
      <c r="AO21" s="22"/>
      <c r="AP21" s="22"/>
      <c r="AQ21" s="22"/>
      <c r="AR21" s="23"/>
      <c r="AS21" s="21"/>
      <c r="AT21" s="22"/>
      <c r="AU21" s="22"/>
      <c r="AV21" s="22"/>
      <c r="AW21" s="23"/>
    </row>
    <row r="22" spans="1:49" ht="21" customHeight="1" x14ac:dyDescent="0.35">
      <c r="A22" s="2"/>
      <c r="B22" s="7" t="s">
        <v>60</v>
      </c>
      <c r="C22" s="7" t="s">
        <v>53</v>
      </c>
      <c r="D22" s="14" t="s">
        <v>46</v>
      </c>
      <c r="E22" s="31">
        <v>292</v>
      </c>
      <c r="F22" s="22"/>
      <c r="G22" s="22"/>
      <c r="H22" s="22"/>
      <c r="I22" s="23"/>
      <c r="J22" s="32">
        <f t="shared" si="2"/>
        <v>0.35039999999999999</v>
      </c>
      <c r="K22" s="22"/>
      <c r="L22" s="22"/>
      <c r="M22" s="22"/>
      <c r="N22" s="23"/>
      <c r="O22" s="31">
        <v>848</v>
      </c>
      <c r="P22" s="22"/>
      <c r="Q22" s="22"/>
      <c r="R22" s="22"/>
      <c r="S22" s="23"/>
      <c r="T22" s="25">
        <v>292</v>
      </c>
      <c r="U22" s="22"/>
      <c r="V22" s="22"/>
      <c r="W22" s="22"/>
      <c r="X22" s="23"/>
      <c r="Y22" s="24">
        <f t="shared" si="1"/>
        <v>0.38923599999999997</v>
      </c>
      <c r="Z22" s="22"/>
      <c r="AA22" s="22"/>
      <c r="AB22" s="22"/>
      <c r="AC22" s="23"/>
      <c r="AD22" s="25">
        <v>906</v>
      </c>
      <c r="AE22" s="22"/>
      <c r="AF22" s="22"/>
      <c r="AG22" s="22"/>
      <c r="AH22" s="23"/>
      <c r="AI22" s="21">
        <v>931</v>
      </c>
      <c r="AJ22" s="22"/>
      <c r="AK22" s="22"/>
      <c r="AL22" s="22"/>
      <c r="AM22" s="23"/>
      <c r="AN22" s="21">
        <v>1011</v>
      </c>
      <c r="AO22" s="22"/>
      <c r="AP22" s="22"/>
      <c r="AQ22" s="22"/>
      <c r="AR22" s="23"/>
      <c r="AS22" s="30" t="s">
        <v>101</v>
      </c>
      <c r="AT22" s="22"/>
      <c r="AU22" s="22"/>
      <c r="AV22" s="22"/>
      <c r="AW22" s="23"/>
    </row>
    <row r="23" spans="1:49" ht="21" customHeight="1" x14ac:dyDescent="0.35">
      <c r="A23" s="2"/>
      <c r="B23" s="7" t="s">
        <v>61</v>
      </c>
      <c r="C23" s="7" t="s">
        <v>53</v>
      </c>
      <c r="D23" s="14" t="s">
        <v>48</v>
      </c>
      <c r="E23" s="31">
        <v>279</v>
      </c>
      <c r="F23" s="22"/>
      <c r="G23" s="22"/>
      <c r="H23" s="22"/>
      <c r="I23" s="23"/>
      <c r="J23" s="32">
        <f t="shared" si="2"/>
        <v>0.33479999999999999</v>
      </c>
      <c r="K23" s="22"/>
      <c r="L23" s="22"/>
      <c r="M23" s="22"/>
      <c r="N23" s="23"/>
      <c r="O23" s="31">
        <v>942</v>
      </c>
      <c r="P23" s="22"/>
      <c r="Q23" s="22"/>
      <c r="R23" s="22"/>
      <c r="S23" s="23"/>
      <c r="T23" s="25">
        <v>279</v>
      </c>
      <c r="U23" s="22"/>
      <c r="V23" s="22"/>
      <c r="W23" s="22"/>
      <c r="X23" s="23"/>
      <c r="Y23" s="24">
        <f t="shared" si="1"/>
        <v>0.37190699999999999</v>
      </c>
      <c r="Z23" s="22"/>
      <c r="AA23" s="22"/>
      <c r="AB23" s="22"/>
      <c r="AC23" s="23"/>
      <c r="AD23" s="25">
        <v>1000</v>
      </c>
      <c r="AE23" s="22"/>
      <c r="AF23" s="22"/>
      <c r="AG23" s="22"/>
      <c r="AH23" s="23"/>
      <c r="AI23" s="21">
        <v>1024</v>
      </c>
      <c r="AJ23" s="22"/>
      <c r="AK23" s="22"/>
      <c r="AL23" s="22"/>
      <c r="AM23" s="23"/>
      <c r="AN23" s="21">
        <v>1104</v>
      </c>
      <c r="AO23" s="22"/>
      <c r="AP23" s="22"/>
      <c r="AQ23" s="22"/>
      <c r="AR23" s="23"/>
      <c r="AS23" s="21"/>
      <c r="AT23" s="22"/>
      <c r="AU23" s="22"/>
      <c r="AV23" s="22"/>
      <c r="AW23" s="23"/>
    </row>
    <row r="24" spans="1:49" ht="21" customHeight="1" x14ac:dyDescent="0.35">
      <c r="A24" s="2"/>
      <c r="B24" s="7" t="s">
        <v>62</v>
      </c>
      <c r="C24" s="7" t="s">
        <v>53</v>
      </c>
      <c r="D24" s="14" t="s">
        <v>63</v>
      </c>
      <c r="E24" s="31">
        <v>415</v>
      </c>
      <c r="F24" s="22"/>
      <c r="G24" s="22"/>
      <c r="H24" s="22"/>
      <c r="I24" s="23"/>
      <c r="J24" s="32">
        <f t="shared" si="2"/>
        <v>0.49799999999999994</v>
      </c>
      <c r="K24" s="22"/>
      <c r="L24" s="22"/>
      <c r="M24" s="22"/>
      <c r="N24" s="23"/>
      <c r="O24" s="31">
        <v>944</v>
      </c>
      <c r="P24" s="22"/>
      <c r="Q24" s="22"/>
      <c r="R24" s="22"/>
      <c r="S24" s="23"/>
      <c r="T24" s="25">
        <v>415</v>
      </c>
      <c r="U24" s="22"/>
      <c r="V24" s="22"/>
      <c r="W24" s="22"/>
      <c r="X24" s="23"/>
      <c r="Y24" s="24">
        <f t="shared" si="1"/>
        <v>0.55319499999999999</v>
      </c>
      <c r="Z24" s="22"/>
      <c r="AA24" s="22"/>
      <c r="AB24" s="22"/>
      <c r="AC24" s="23"/>
      <c r="AD24" s="25">
        <v>1003</v>
      </c>
      <c r="AE24" s="22"/>
      <c r="AF24" s="22"/>
      <c r="AG24" s="22"/>
      <c r="AH24" s="23"/>
      <c r="AI24" s="21">
        <v>1025</v>
      </c>
      <c r="AJ24" s="22"/>
      <c r="AK24" s="22"/>
      <c r="AL24" s="22"/>
      <c r="AM24" s="23"/>
      <c r="AN24" s="21">
        <v>1105</v>
      </c>
      <c r="AO24" s="22"/>
      <c r="AP24" s="22"/>
      <c r="AQ24" s="22"/>
      <c r="AR24" s="23"/>
      <c r="AS24" s="21"/>
      <c r="AT24" s="22"/>
      <c r="AU24" s="22"/>
      <c r="AV24" s="22"/>
      <c r="AW24" s="23"/>
    </row>
    <row r="25" spans="1:49" ht="21" customHeight="1" x14ac:dyDescent="0.35">
      <c r="A25" s="2"/>
      <c r="B25" s="7" t="s">
        <v>64</v>
      </c>
      <c r="C25" s="7" t="s">
        <v>53</v>
      </c>
      <c r="D25" s="14" t="s">
        <v>51</v>
      </c>
      <c r="E25" s="31">
        <v>279</v>
      </c>
      <c r="F25" s="22"/>
      <c r="G25" s="22"/>
      <c r="H25" s="22"/>
      <c r="I25" s="23"/>
      <c r="J25" s="32">
        <f t="shared" si="2"/>
        <v>0.33479999999999999</v>
      </c>
      <c r="K25" s="22"/>
      <c r="L25" s="22"/>
      <c r="M25" s="22"/>
      <c r="N25" s="23"/>
      <c r="O25" s="31">
        <v>946</v>
      </c>
      <c r="P25" s="22"/>
      <c r="Q25" s="22"/>
      <c r="R25" s="22"/>
      <c r="S25" s="23"/>
      <c r="T25" s="25">
        <v>279</v>
      </c>
      <c r="U25" s="22"/>
      <c r="V25" s="22"/>
      <c r="W25" s="22"/>
      <c r="X25" s="23"/>
      <c r="Y25" s="24">
        <f t="shared" si="1"/>
        <v>0.37190699999999999</v>
      </c>
      <c r="Z25" s="22"/>
      <c r="AA25" s="22"/>
      <c r="AB25" s="22"/>
      <c r="AC25" s="23"/>
      <c r="AD25" s="25">
        <v>1005</v>
      </c>
      <c r="AE25" s="22"/>
      <c r="AF25" s="22"/>
      <c r="AG25" s="22"/>
      <c r="AH25" s="23"/>
      <c r="AI25" s="21">
        <v>1026</v>
      </c>
      <c r="AJ25" s="22"/>
      <c r="AK25" s="22"/>
      <c r="AL25" s="22"/>
      <c r="AM25" s="23"/>
      <c r="AN25" s="21">
        <v>1106</v>
      </c>
      <c r="AO25" s="22"/>
      <c r="AP25" s="22"/>
      <c r="AQ25" s="22"/>
      <c r="AR25" s="23"/>
      <c r="AS25" s="21"/>
      <c r="AT25" s="22"/>
      <c r="AU25" s="22"/>
      <c r="AV25" s="22"/>
      <c r="AW25" s="23"/>
    </row>
    <row r="26" spans="1:49" ht="21" customHeight="1" x14ac:dyDescent="0.35">
      <c r="A26" s="2"/>
      <c r="B26" s="7" t="s">
        <v>65</v>
      </c>
      <c r="C26" s="7" t="s">
        <v>66</v>
      </c>
      <c r="D26" s="8" t="s">
        <v>67</v>
      </c>
      <c r="E26" s="31">
        <v>279</v>
      </c>
      <c r="F26" s="22"/>
      <c r="G26" s="22"/>
      <c r="H26" s="22"/>
      <c r="I26" s="23"/>
      <c r="J26" s="32">
        <f t="shared" ref="J26:J39" si="3">E26*0.00125</f>
        <v>0.34875</v>
      </c>
      <c r="K26" s="22"/>
      <c r="L26" s="22"/>
      <c r="M26" s="22"/>
      <c r="N26" s="23"/>
      <c r="O26" s="31">
        <v>1446</v>
      </c>
      <c r="P26" s="22"/>
      <c r="Q26" s="22"/>
      <c r="R26" s="22"/>
      <c r="S26" s="23"/>
      <c r="T26" s="25">
        <v>279</v>
      </c>
      <c r="U26" s="22"/>
      <c r="V26" s="22"/>
      <c r="W26" s="22"/>
      <c r="X26" s="23"/>
      <c r="Y26" s="24">
        <f t="shared" si="1"/>
        <v>0.37190699999999999</v>
      </c>
      <c r="Z26" s="22"/>
      <c r="AA26" s="22"/>
      <c r="AB26" s="22"/>
      <c r="AC26" s="23"/>
      <c r="AD26" s="25">
        <v>1506</v>
      </c>
      <c r="AE26" s="22"/>
      <c r="AF26" s="22"/>
      <c r="AG26" s="22"/>
      <c r="AH26" s="23"/>
      <c r="AI26" s="21">
        <v>1529</v>
      </c>
      <c r="AJ26" s="22"/>
      <c r="AK26" s="22"/>
      <c r="AL26" s="22"/>
      <c r="AM26" s="23"/>
      <c r="AN26" s="21">
        <v>1609</v>
      </c>
      <c r="AO26" s="22"/>
      <c r="AP26" s="22"/>
      <c r="AQ26" s="22"/>
      <c r="AR26" s="23"/>
      <c r="AS26" s="21"/>
      <c r="AT26" s="22"/>
      <c r="AU26" s="22"/>
      <c r="AV26" s="22"/>
      <c r="AW26" s="23"/>
    </row>
    <row r="27" spans="1:49" ht="21" customHeight="1" x14ac:dyDescent="0.35">
      <c r="A27" s="2"/>
      <c r="B27" s="7" t="s">
        <v>68</v>
      </c>
      <c r="C27" s="7" t="s">
        <v>66</v>
      </c>
      <c r="D27" s="8" t="s">
        <v>69</v>
      </c>
      <c r="E27" s="33">
        <v>273</v>
      </c>
      <c r="F27" s="22"/>
      <c r="G27" s="22"/>
      <c r="H27" s="22"/>
      <c r="I27" s="23"/>
      <c r="J27" s="32">
        <f t="shared" si="3"/>
        <v>0.34125</v>
      </c>
      <c r="K27" s="22"/>
      <c r="L27" s="22"/>
      <c r="M27" s="22"/>
      <c r="N27" s="23"/>
      <c r="O27" s="31">
        <v>1447</v>
      </c>
      <c r="P27" s="22"/>
      <c r="Q27" s="22"/>
      <c r="R27" s="22"/>
      <c r="S27" s="23"/>
      <c r="T27" s="34">
        <v>273</v>
      </c>
      <c r="U27" s="22"/>
      <c r="V27" s="22"/>
      <c r="W27" s="22"/>
      <c r="X27" s="23"/>
      <c r="Y27" s="24">
        <f t="shared" si="1"/>
        <v>0.36390899999999998</v>
      </c>
      <c r="Z27" s="22"/>
      <c r="AA27" s="22"/>
      <c r="AB27" s="22"/>
      <c r="AC27" s="23"/>
      <c r="AD27" s="25">
        <v>1508</v>
      </c>
      <c r="AE27" s="22"/>
      <c r="AF27" s="22"/>
      <c r="AG27" s="22"/>
      <c r="AH27" s="23"/>
      <c r="AI27" s="21">
        <v>1530</v>
      </c>
      <c r="AJ27" s="22"/>
      <c r="AK27" s="22"/>
      <c r="AL27" s="22"/>
      <c r="AM27" s="23"/>
      <c r="AN27" s="21">
        <v>1610</v>
      </c>
      <c r="AO27" s="22"/>
      <c r="AP27" s="22"/>
      <c r="AQ27" s="22"/>
      <c r="AR27" s="23"/>
      <c r="AS27" s="21"/>
      <c r="AT27" s="22"/>
      <c r="AU27" s="22"/>
      <c r="AV27" s="22"/>
      <c r="AW27" s="23"/>
    </row>
    <row r="28" spans="1:49" ht="21" customHeight="1" x14ac:dyDescent="0.35">
      <c r="A28" s="2"/>
      <c r="B28" s="7" t="s">
        <v>70</v>
      </c>
      <c r="C28" s="7" t="s">
        <v>66</v>
      </c>
      <c r="D28" s="8" t="s">
        <v>71</v>
      </c>
      <c r="E28" s="33">
        <v>274</v>
      </c>
      <c r="F28" s="22"/>
      <c r="G28" s="22"/>
      <c r="H28" s="22"/>
      <c r="I28" s="23"/>
      <c r="J28" s="32">
        <f t="shared" si="3"/>
        <v>0.34250000000000003</v>
      </c>
      <c r="K28" s="22"/>
      <c r="L28" s="22"/>
      <c r="M28" s="22"/>
      <c r="N28" s="23"/>
      <c r="O28" s="31">
        <v>1449</v>
      </c>
      <c r="P28" s="22"/>
      <c r="Q28" s="22"/>
      <c r="R28" s="22"/>
      <c r="S28" s="23"/>
      <c r="T28" s="34">
        <v>274</v>
      </c>
      <c r="U28" s="22"/>
      <c r="V28" s="22"/>
      <c r="W28" s="22"/>
      <c r="X28" s="23"/>
      <c r="Y28" s="24">
        <f t="shared" si="1"/>
        <v>0.36524200000000001</v>
      </c>
      <c r="Z28" s="22"/>
      <c r="AA28" s="22"/>
      <c r="AB28" s="22"/>
      <c r="AC28" s="23"/>
      <c r="AD28" s="25">
        <v>1510</v>
      </c>
      <c r="AE28" s="22"/>
      <c r="AF28" s="22"/>
      <c r="AG28" s="22"/>
      <c r="AH28" s="23"/>
      <c r="AI28" s="21">
        <v>1531</v>
      </c>
      <c r="AJ28" s="22"/>
      <c r="AK28" s="22"/>
      <c r="AL28" s="22"/>
      <c r="AM28" s="23"/>
      <c r="AN28" s="21">
        <v>1611</v>
      </c>
      <c r="AO28" s="22"/>
      <c r="AP28" s="22"/>
      <c r="AQ28" s="22"/>
      <c r="AR28" s="23"/>
      <c r="AS28" s="21"/>
      <c r="AT28" s="22"/>
      <c r="AU28" s="22"/>
      <c r="AV28" s="22"/>
      <c r="AW28" s="23"/>
    </row>
    <row r="29" spans="1:49" ht="21" customHeight="1" x14ac:dyDescent="0.35">
      <c r="A29" s="2"/>
      <c r="B29" s="7" t="s">
        <v>72</v>
      </c>
      <c r="C29" s="7" t="s">
        <v>66</v>
      </c>
      <c r="D29" s="8" t="s">
        <v>73</v>
      </c>
      <c r="E29" s="33">
        <v>261</v>
      </c>
      <c r="F29" s="22"/>
      <c r="G29" s="22"/>
      <c r="H29" s="22"/>
      <c r="I29" s="23"/>
      <c r="J29" s="32">
        <f t="shared" si="3"/>
        <v>0.32624999999999998</v>
      </c>
      <c r="K29" s="22"/>
      <c r="L29" s="22"/>
      <c r="M29" s="22"/>
      <c r="N29" s="23"/>
      <c r="O29" s="31">
        <v>1451</v>
      </c>
      <c r="P29" s="22"/>
      <c r="Q29" s="22"/>
      <c r="R29" s="22"/>
      <c r="S29" s="23"/>
      <c r="T29" s="34">
        <v>261</v>
      </c>
      <c r="U29" s="22"/>
      <c r="V29" s="22"/>
      <c r="W29" s="22"/>
      <c r="X29" s="23"/>
      <c r="Y29" s="24">
        <f t="shared" si="1"/>
        <v>0.34791299999999997</v>
      </c>
      <c r="Z29" s="22"/>
      <c r="AA29" s="22"/>
      <c r="AB29" s="22"/>
      <c r="AC29" s="23"/>
      <c r="AD29" s="25">
        <v>1512</v>
      </c>
      <c r="AE29" s="22"/>
      <c r="AF29" s="22"/>
      <c r="AG29" s="22"/>
      <c r="AH29" s="23"/>
      <c r="AI29" s="21">
        <v>1532</v>
      </c>
      <c r="AJ29" s="22"/>
      <c r="AK29" s="22"/>
      <c r="AL29" s="22"/>
      <c r="AM29" s="23"/>
      <c r="AN29" s="21">
        <v>1612</v>
      </c>
      <c r="AO29" s="22"/>
      <c r="AP29" s="22"/>
      <c r="AQ29" s="22"/>
      <c r="AR29" s="23"/>
      <c r="AS29" s="21"/>
      <c r="AT29" s="22"/>
      <c r="AU29" s="22"/>
      <c r="AV29" s="22"/>
      <c r="AW29" s="23"/>
    </row>
    <row r="30" spans="1:49" ht="21" customHeight="1" x14ac:dyDescent="0.35">
      <c r="A30" s="2"/>
      <c r="B30" s="7" t="s">
        <v>74</v>
      </c>
      <c r="C30" s="7" t="s">
        <v>66</v>
      </c>
      <c r="D30" s="14" t="s">
        <v>46</v>
      </c>
      <c r="E30" s="31">
        <v>295</v>
      </c>
      <c r="F30" s="22"/>
      <c r="G30" s="22"/>
      <c r="H30" s="22"/>
      <c r="I30" s="23"/>
      <c r="J30" s="32">
        <f t="shared" si="3"/>
        <v>0.36875000000000002</v>
      </c>
      <c r="K30" s="22"/>
      <c r="L30" s="22"/>
      <c r="M30" s="22"/>
      <c r="N30" s="23"/>
      <c r="O30" s="31">
        <v>1537</v>
      </c>
      <c r="P30" s="22"/>
      <c r="Q30" s="22"/>
      <c r="R30" s="22"/>
      <c r="S30" s="23"/>
      <c r="T30" s="25">
        <v>295</v>
      </c>
      <c r="U30" s="22"/>
      <c r="V30" s="22"/>
      <c r="W30" s="22"/>
      <c r="X30" s="23"/>
      <c r="Y30" s="24">
        <f t="shared" si="1"/>
        <v>0.393235</v>
      </c>
      <c r="Z30" s="22"/>
      <c r="AA30" s="22"/>
      <c r="AB30" s="22"/>
      <c r="AC30" s="23"/>
      <c r="AD30" s="25">
        <v>1554</v>
      </c>
      <c r="AE30" s="22"/>
      <c r="AF30" s="22"/>
      <c r="AG30" s="22"/>
      <c r="AH30" s="23"/>
      <c r="AI30" s="21">
        <v>1617</v>
      </c>
      <c r="AJ30" s="22"/>
      <c r="AK30" s="22"/>
      <c r="AL30" s="22"/>
      <c r="AM30" s="23"/>
      <c r="AN30" s="21">
        <v>1657</v>
      </c>
      <c r="AO30" s="22"/>
      <c r="AP30" s="22"/>
      <c r="AQ30" s="22"/>
      <c r="AR30" s="23"/>
      <c r="AS30" s="21"/>
      <c r="AT30" s="22"/>
      <c r="AU30" s="22"/>
      <c r="AV30" s="22"/>
      <c r="AW30" s="23"/>
    </row>
    <row r="31" spans="1:49" ht="21" customHeight="1" x14ac:dyDescent="0.35">
      <c r="A31" s="2"/>
      <c r="B31" s="7" t="s">
        <v>75</v>
      </c>
      <c r="C31" s="7" t="s">
        <v>66</v>
      </c>
      <c r="D31" s="14" t="s">
        <v>48</v>
      </c>
      <c r="E31" s="31">
        <v>291</v>
      </c>
      <c r="F31" s="22"/>
      <c r="G31" s="22"/>
      <c r="H31" s="22"/>
      <c r="I31" s="23"/>
      <c r="J31" s="32">
        <f t="shared" si="3"/>
        <v>0.36375000000000002</v>
      </c>
      <c r="K31" s="22"/>
      <c r="L31" s="22"/>
      <c r="M31" s="22"/>
      <c r="N31" s="23"/>
      <c r="O31" s="31">
        <v>1538</v>
      </c>
      <c r="P31" s="22"/>
      <c r="Q31" s="22"/>
      <c r="R31" s="22"/>
      <c r="S31" s="23"/>
      <c r="T31" s="25">
        <v>291</v>
      </c>
      <c r="U31" s="22"/>
      <c r="V31" s="22"/>
      <c r="W31" s="22"/>
      <c r="X31" s="23"/>
      <c r="Y31" s="24">
        <f t="shared" si="1"/>
        <v>0.387903</v>
      </c>
      <c r="Z31" s="22"/>
      <c r="AA31" s="22"/>
      <c r="AB31" s="22"/>
      <c r="AC31" s="23"/>
      <c r="AD31" s="25">
        <v>1555</v>
      </c>
      <c r="AE31" s="22"/>
      <c r="AF31" s="22"/>
      <c r="AG31" s="22"/>
      <c r="AH31" s="23"/>
      <c r="AI31" s="21">
        <v>1618</v>
      </c>
      <c r="AJ31" s="22"/>
      <c r="AK31" s="22"/>
      <c r="AL31" s="22"/>
      <c r="AM31" s="23"/>
      <c r="AN31" s="21">
        <v>1658</v>
      </c>
      <c r="AO31" s="22"/>
      <c r="AP31" s="22"/>
      <c r="AQ31" s="22"/>
      <c r="AR31" s="23"/>
      <c r="AS31" s="21"/>
      <c r="AT31" s="22"/>
      <c r="AU31" s="22"/>
      <c r="AV31" s="22"/>
      <c r="AW31" s="23"/>
    </row>
    <row r="32" spans="1:49" ht="21" customHeight="1" x14ac:dyDescent="0.35">
      <c r="A32" s="2"/>
      <c r="B32" s="7" t="s">
        <v>76</v>
      </c>
      <c r="C32" s="7" t="s">
        <v>66</v>
      </c>
      <c r="D32" s="14" t="s">
        <v>36</v>
      </c>
      <c r="E32" s="31">
        <v>299</v>
      </c>
      <c r="F32" s="22"/>
      <c r="G32" s="22"/>
      <c r="H32" s="22"/>
      <c r="I32" s="23"/>
      <c r="J32" s="32">
        <f t="shared" si="3"/>
        <v>0.37375000000000003</v>
      </c>
      <c r="K32" s="22"/>
      <c r="L32" s="22"/>
      <c r="M32" s="22"/>
      <c r="N32" s="23"/>
      <c r="O32" s="31">
        <v>1540</v>
      </c>
      <c r="P32" s="22"/>
      <c r="Q32" s="22"/>
      <c r="R32" s="22"/>
      <c r="S32" s="23"/>
      <c r="T32" s="25">
        <v>299</v>
      </c>
      <c r="U32" s="22"/>
      <c r="V32" s="22"/>
      <c r="W32" s="22"/>
      <c r="X32" s="23"/>
      <c r="Y32" s="24">
        <f t="shared" si="1"/>
        <v>0.398567</v>
      </c>
      <c r="Z32" s="22"/>
      <c r="AA32" s="22"/>
      <c r="AB32" s="22"/>
      <c r="AC32" s="23"/>
      <c r="AD32" s="25">
        <v>1547</v>
      </c>
      <c r="AE32" s="22"/>
      <c r="AF32" s="22"/>
      <c r="AG32" s="22"/>
      <c r="AH32" s="23"/>
      <c r="AI32" s="21">
        <v>1619</v>
      </c>
      <c r="AJ32" s="22"/>
      <c r="AK32" s="22"/>
      <c r="AL32" s="22"/>
      <c r="AM32" s="23"/>
      <c r="AN32" s="21">
        <v>1659</v>
      </c>
      <c r="AO32" s="22"/>
      <c r="AP32" s="22"/>
      <c r="AQ32" s="22"/>
      <c r="AR32" s="23"/>
      <c r="AS32" s="21"/>
      <c r="AT32" s="22"/>
      <c r="AU32" s="22"/>
      <c r="AV32" s="22"/>
      <c r="AW32" s="23"/>
    </row>
    <row r="33" spans="1:184" ht="21" customHeight="1" x14ac:dyDescent="0.35">
      <c r="A33" s="2"/>
      <c r="B33" s="7" t="s">
        <v>77</v>
      </c>
      <c r="C33" s="7" t="s">
        <v>78</v>
      </c>
      <c r="D33" s="8" t="s">
        <v>79</v>
      </c>
      <c r="E33" s="31">
        <v>410</v>
      </c>
      <c r="F33" s="22"/>
      <c r="G33" s="22"/>
      <c r="H33" s="22"/>
      <c r="I33" s="23"/>
      <c r="J33" s="32">
        <f t="shared" si="3"/>
        <v>0.51249999999999996</v>
      </c>
      <c r="K33" s="22"/>
      <c r="L33" s="22"/>
      <c r="M33" s="22"/>
      <c r="N33" s="23"/>
      <c r="O33" s="31">
        <v>1543</v>
      </c>
      <c r="P33" s="22"/>
      <c r="Q33" s="22"/>
      <c r="R33" s="22"/>
      <c r="S33" s="23"/>
      <c r="T33" s="25">
        <v>410</v>
      </c>
      <c r="U33" s="22"/>
      <c r="V33" s="22"/>
      <c r="W33" s="22"/>
      <c r="X33" s="23"/>
      <c r="Y33" s="24">
        <f t="shared" si="1"/>
        <v>0.54652999999999996</v>
      </c>
      <c r="Z33" s="22"/>
      <c r="AA33" s="22"/>
      <c r="AB33" s="22"/>
      <c r="AC33" s="23"/>
      <c r="AD33" s="25">
        <v>1600</v>
      </c>
      <c r="AE33" s="22"/>
      <c r="AF33" s="22"/>
      <c r="AG33" s="22"/>
      <c r="AH33" s="23"/>
      <c r="AI33" s="21">
        <v>1620</v>
      </c>
      <c r="AJ33" s="22"/>
      <c r="AK33" s="22"/>
      <c r="AL33" s="22"/>
      <c r="AM33" s="23"/>
      <c r="AN33" s="21">
        <v>1700</v>
      </c>
      <c r="AO33" s="22"/>
      <c r="AP33" s="22"/>
      <c r="AQ33" s="22"/>
      <c r="AR33" s="23"/>
      <c r="AS33" s="21"/>
      <c r="AT33" s="22"/>
      <c r="AU33" s="22"/>
      <c r="AV33" s="22"/>
      <c r="AW33" s="23"/>
    </row>
    <row r="34" spans="1:184" ht="21" customHeight="1" x14ac:dyDescent="0.35">
      <c r="A34" s="2"/>
      <c r="B34" s="7" t="s">
        <v>80</v>
      </c>
      <c r="C34" s="7" t="s">
        <v>78</v>
      </c>
      <c r="D34" s="8" t="s">
        <v>81</v>
      </c>
      <c r="E34" s="33">
        <v>277</v>
      </c>
      <c r="F34" s="22"/>
      <c r="G34" s="22"/>
      <c r="H34" s="22"/>
      <c r="I34" s="23"/>
      <c r="J34" s="32">
        <f t="shared" si="3"/>
        <v>0.34625</v>
      </c>
      <c r="K34" s="22"/>
      <c r="L34" s="22"/>
      <c r="M34" s="22"/>
      <c r="N34" s="23"/>
      <c r="O34" s="31">
        <v>1545</v>
      </c>
      <c r="P34" s="22"/>
      <c r="Q34" s="22"/>
      <c r="R34" s="22"/>
      <c r="S34" s="23"/>
      <c r="T34" s="34">
        <v>277</v>
      </c>
      <c r="U34" s="22"/>
      <c r="V34" s="22"/>
      <c r="W34" s="22"/>
      <c r="X34" s="23"/>
      <c r="Y34" s="24">
        <f t="shared" si="1"/>
        <v>0.36924099999999999</v>
      </c>
      <c r="Z34" s="22"/>
      <c r="AA34" s="22"/>
      <c r="AB34" s="22"/>
      <c r="AC34" s="23"/>
      <c r="AD34" s="25">
        <v>1602</v>
      </c>
      <c r="AE34" s="22"/>
      <c r="AF34" s="22"/>
      <c r="AG34" s="22"/>
      <c r="AH34" s="23"/>
      <c r="AI34" s="21">
        <v>1621</v>
      </c>
      <c r="AJ34" s="22"/>
      <c r="AK34" s="22"/>
      <c r="AL34" s="22"/>
      <c r="AM34" s="23"/>
      <c r="AN34" s="21">
        <v>1701</v>
      </c>
      <c r="AO34" s="22"/>
      <c r="AP34" s="22"/>
      <c r="AQ34" s="22"/>
      <c r="AR34" s="23"/>
      <c r="AS34" s="30" t="s">
        <v>102</v>
      </c>
      <c r="AT34" s="22"/>
      <c r="AU34" s="22"/>
      <c r="AV34" s="22"/>
      <c r="AW34" s="23"/>
    </row>
    <row r="35" spans="1:184" ht="21" customHeight="1" x14ac:dyDescent="0.35">
      <c r="A35" s="2"/>
      <c r="B35" s="7" t="s">
        <v>82</v>
      </c>
      <c r="C35" s="7" t="s">
        <v>78</v>
      </c>
      <c r="D35" s="8" t="s">
        <v>71</v>
      </c>
      <c r="E35" s="33">
        <v>281</v>
      </c>
      <c r="F35" s="22"/>
      <c r="G35" s="22"/>
      <c r="H35" s="22"/>
      <c r="I35" s="23"/>
      <c r="J35" s="32">
        <f t="shared" si="3"/>
        <v>0.35125000000000001</v>
      </c>
      <c r="K35" s="22"/>
      <c r="L35" s="22"/>
      <c r="M35" s="22"/>
      <c r="N35" s="23"/>
      <c r="O35" s="31">
        <v>1626</v>
      </c>
      <c r="P35" s="22"/>
      <c r="Q35" s="22"/>
      <c r="R35" s="22"/>
      <c r="S35" s="23"/>
      <c r="T35" s="34">
        <v>281</v>
      </c>
      <c r="U35" s="22"/>
      <c r="V35" s="22"/>
      <c r="W35" s="22"/>
      <c r="X35" s="23"/>
      <c r="Y35" s="24">
        <f t="shared" si="1"/>
        <v>0.37457299999999999</v>
      </c>
      <c r="Z35" s="22"/>
      <c r="AA35" s="22"/>
      <c r="AB35" s="22"/>
      <c r="AC35" s="23"/>
      <c r="AD35" s="25">
        <v>1643</v>
      </c>
      <c r="AE35" s="22"/>
      <c r="AF35" s="22"/>
      <c r="AG35" s="22"/>
      <c r="AH35" s="23"/>
      <c r="AI35" s="21">
        <v>1708</v>
      </c>
      <c r="AJ35" s="22"/>
      <c r="AK35" s="22"/>
      <c r="AL35" s="22"/>
      <c r="AM35" s="23"/>
      <c r="AN35" s="21">
        <v>1748</v>
      </c>
      <c r="AO35" s="22"/>
      <c r="AP35" s="22"/>
      <c r="AQ35" s="22"/>
      <c r="AR35" s="23"/>
      <c r="AS35" s="21"/>
      <c r="AT35" s="22"/>
      <c r="AU35" s="22"/>
      <c r="AV35" s="22"/>
      <c r="AW35" s="23"/>
    </row>
    <row r="36" spans="1:184" ht="21" customHeight="1" x14ac:dyDescent="0.35">
      <c r="A36" s="2"/>
      <c r="B36" s="7" t="s">
        <v>83</v>
      </c>
      <c r="C36" s="7" t="s">
        <v>78</v>
      </c>
      <c r="D36" s="8" t="s">
        <v>73</v>
      </c>
      <c r="E36" s="33">
        <v>240</v>
      </c>
      <c r="F36" s="22"/>
      <c r="G36" s="22"/>
      <c r="H36" s="22"/>
      <c r="I36" s="23"/>
      <c r="J36" s="32">
        <f t="shared" si="3"/>
        <v>0.3</v>
      </c>
      <c r="K36" s="22"/>
      <c r="L36" s="22"/>
      <c r="M36" s="22"/>
      <c r="N36" s="23"/>
      <c r="O36" s="31">
        <v>1628</v>
      </c>
      <c r="P36" s="22"/>
      <c r="Q36" s="22"/>
      <c r="R36" s="22"/>
      <c r="S36" s="23"/>
      <c r="T36" s="34">
        <v>240</v>
      </c>
      <c r="U36" s="22"/>
      <c r="V36" s="22"/>
      <c r="W36" s="22"/>
      <c r="X36" s="23"/>
      <c r="Y36" s="24">
        <f t="shared" si="1"/>
        <v>0.31991999999999998</v>
      </c>
      <c r="Z36" s="22"/>
      <c r="AA36" s="22"/>
      <c r="AB36" s="22"/>
      <c r="AC36" s="23"/>
      <c r="AD36" s="25">
        <v>1647</v>
      </c>
      <c r="AE36" s="22"/>
      <c r="AF36" s="22"/>
      <c r="AG36" s="22"/>
      <c r="AH36" s="23"/>
      <c r="AI36" s="21">
        <v>1709</v>
      </c>
      <c r="AJ36" s="22"/>
      <c r="AK36" s="22"/>
      <c r="AL36" s="22"/>
      <c r="AM36" s="23"/>
      <c r="AN36" s="21">
        <v>1749</v>
      </c>
      <c r="AO36" s="22"/>
      <c r="AP36" s="22"/>
      <c r="AQ36" s="22"/>
      <c r="AR36" s="23"/>
      <c r="AS36" s="21"/>
      <c r="AT36" s="22"/>
      <c r="AU36" s="22"/>
      <c r="AV36" s="22"/>
      <c r="AW36" s="23"/>
    </row>
    <row r="37" spans="1:184" ht="21" customHeight="1" x14ac:dyDescent="0.35">
      <c r="A37" s="2"/>
      <c r="B37" s="7" t="s">
        <v>84</v>
      </c>
      <c r="C37" s="7" t="s">
        <v>78</v>
      </c>
      <c r="D37" s="14" t="s">
        <v>32</v>
      </c>
      <c r="E37" s="33">
        <v>441</v>
      </c>
      <c r="F37" s="22"/>
      <c r="G37" s="22"/>
      <c r="H37" s="22"/>
      <c r="I37" s="23"/>
      <c r="J37" s="32">
        <f t="shared" si="3"/>
        <v>0.55125000000000002</v>
      </c>
      <c r="K37" s="22"/>
      <c r="L37" s="22"/>
      <c r="M37" s="22"/>
      <c r="N37" s="23"/>
      <c r="O37" s="31">
        <v>1632</v>
      </c>
      <c r="P37" s="22"/>
      <c r="Q37" s="22"/>
      <c r="R37" s="22"/>
      <c r="S37" s="23"/>
      <c r="T37" s="34">
        <v>441</v>
      </c>
      <c r="U37" s="22"/>
      <c r="V37" s="22"/>
      <c r="W37" s="22"/>
      <c r="X37" s="23"/>
      <c r="Y37" s="24">
        <f t="shared" si="1"/>
        <v>0.58785299999999996</v>
      </c>
      <c r="Z37" s="22"/>
      <c r="AA37" s="22"/>
      <c r="AB37" s="22"/>
      <c r="AC37" s="23"/>
      <c r="AD37" s="25">
        <v>1649</v>
      </c>
      <c r="AE37" s="22"/>
      <c r="AF37" s="22"/>
      <c r="AG37" s="22"/>
      <c r="AH37" s="23"/>
      <c r="AI37" s="21">
        <v>1710</v>
      </c>
      <c r="AJ37" s="22"/>
      <c r="AK37" s="22"/>
      <c r="AL37" s="22"/>
      <c r="AM37" s="23"/>
      <c r="AN37" s="21">
        <v>1750</v>
      </c>
      <c r="AO37" s="22"/>
      <c r="AP37" s="22"/>
      <c r="AQ37" s="22"/>
      <c r="AR37" s="23"/>
      <c r="AS37" s="21"/>
      <c r="AT37" s="22"/>
      <c r="AU37" s="22"/>
      <c r="AV37" s="22"/>
      <c r="AW37" s="23"/>
    </row>
    <row r="38" spans="1:184" ht="21" customHeight="1" x14ac:dyDescent="0.35">
      <c r="A38" s="2"/>
      <c r="B38" s="7" t="s">
        <v>85</v>
      </c>
      <c r="C38" s="7" t="s">
        <v>78</v>
      </c>
      <c r="D38" s="14" t="s">
        <v>34</v>
      </c>
      <c r="E38" s="33">
        <v>456</v>
      </c>
      <c r="F38" s="22"/>
      <c r="G38" s="22"/>
      <c r="H38" s="22"/>
      <c r="I38" s="23"/>
      <c r="J38" s="32">
        <f t="shared" si="3"/>
        <v>0.57000000000000006</v>
      </c>
      <c r="K38" s="22"/>
      <c r="L38" s="22"/>
      <c r="M38" s="22"/>
      <c r="N38" s="23"/>
      <c r="O38" s="31">
        <v>1635</v>
      </c>
      <c r="P38" s="22"/>
      <c r="Q38" s="22"/>
      <c r="R38" s="22"/>
      <c r="S38" s="23"/>
      <c r="T38" s="34">
        <v>456</v>
      </c>
      <c r="U38" s="22"/>
      <c r="V38" s="22"/>
      <c r="W38" s="22"/>
      <c r="X38" s="23"/>
      <c r="Y38" s="24">
        <f t="shared" si="1"/>
        <v>0.60784799999999994</v>
      </c>
      <c r="Z38" s="22"/>
      <c r="AA38" s="22"/>
      <c r="AB38" s="22"/>
      <c r="AC38" s="23"/>
      <c r="AD38" s="25">
        <v>1652</v>
      </c>
      <c r="AE38" s="22"/>
      <c r="AF38" s="22"/>
      <c r="AG38" s="22"/>
      <c r="AH38" s="23"/>
      <c r="AI38" s="21">
        <v>1711</v>
      </c>
      <c r="AJ38" s="22"/>
      <c r="AK38" s="22"/>
      <c r="AL38" s="22"/>
      <c r="AM38" s="23"/>
      <c r="AN38" s="21">
        <v>1751</v>
      </c>
      <c r="AO38" s="22"/>
      <c r="AP38" s="22"/>
      <c r="AQ38" s="22"/>
      <c r="AR38" s="23"/>
      <c r="AS38" s="21"/>
      <c r="AT38" s="22"/>
      <c r="AU38" s="22"/>
      <c r="AV38" s="22"/>
      <c r="AW38" s="23"/>
    </row>
    <row r="39" spans="1:184" ht="21" customHeight="1" x14ac:dyDescent="0.35">
      <c r="A39" s="2"/>
      <c r="B39" s="7" t="s">
        <v>86</v>
      </c>
      <c r="C39" s="7" t="s">
        <v>78</v>
      </c>
      <c r="D39" s="14" t="s">
        <v>36</v>
      </c>
      <c r="E39" s="31">
        <v>283</v>
      </c>
      <c r="F39" s="22"/>
      <c r="G39" s="22"/>
      <c r="H39" s="22"/>
      <c r="I39" s="23"/>
      <c r="J39" s="32">
        <f t="shared" si="3"/>
        <v>0.35375000000000001</v>
      </c>
      <c r="K39" s="22"/>
      <c r="L39" s="22"/>
      <c r="M39" s="22"/>
      <c r="N39" s="23"/>
      <c r="O39" s="31">
        <v>1639</v>
      </c>
      <c r="P39" s="22"/>
      <c r="Q39" s="22"/>
      <c r="R39" s="22"/>
      <c r="S39" s="23"/>
      <c r="T39" s="25">
        <v>283</v>
      </c>
      <c r="U39" s="22"/>
      <c r="V39" s="22"/>
      <c r="W39" s="22"/>
      <c r="X39" s="23"/>
      <c r="Y39" s="24">
        <f t="shared" si="1"/>
        <v>0.37723899999999999</v>
      </c>
      <c r="Z39" s="22"/>
      <c r="AA39" s="22"/>
      <c r="AB39" s="22"/>
      <c r="AC39" s="23"/>
      <c r="AD39" s="25">
        <v>1654</v>
      </c>
      <c r="AE39" s="22"/>
      <c r="AF39" s="22"/>
      <c r="AG39" s="22"/>
      <c r="AH39" s="23"/>
      <c r="AI39" s="21">
        <v>1712</v>
      </c>
      <c r="AJ39" s="22"/>
      <c r="AK39" s="22"/>
      <c r="AL39" s="22"/>
      <c r="AM39" s="23"/>
      <c r="AN39" s="21">
        <v>1752</v>
      </c>
      <c r="AO39" s="22"/>
      <c r="AP39" s="22"/>
      <c r="AQ39" s="22"/>
      <c r="AR39" s="23"/>
      <c r="AS39" s="21"/>
      <c r="AT39" s="22"/>
      <c r="AU39" s="22"/>
      <c r="AV39" s="22"/>
      <c r="AW39" s="23"/>
    </row>
    <row r="40" spans="1:184" ht="21" customHeight="1" x14ac:dyDescent="0.35">
      <c r="A40" s="2"/>
      <c r="B40" s="7" t="s">
        <v>87</v>
      </c>
      <c r="C40" s="7" t="s">
        <v>88</v>
      </c>
      <c r="D40" s="8" t="s">
        <v>89</v>
      </c>
      <c r="E40" s="31">
        <v>248</v>
      </c>
      <c r="F40" s="22"/>
      <c r="G40" s="22"/>
      <c r="H40" s="22"/>
      <c r="I40" s="23"/>
      <c r="J40" s="32">
        <f t="shared" ref="J40:J46" si="4">E40*0.0012</f>
        <v>0.29759999999999998</v>
      </c>
      <c r="K40" s="22"/>
      <c r="L40" s="22"/>
      <c r="M40" s="22"/>
      <c r="N40" s="23"/>
      <c r="O40" s="31">
        <v>950</v>
      </c>
      <c r="P40" s="22"/>
      <c r="Q40" s="22"/>
      <c r="R40" s="22"/>
      <c r="S40" s="23"/>
      <c r="T40" s="25">
        <v>248</v>
      </c>
      <c r="U40" s="22"/>
      <c r="V40" s="22"/>
      <c r="W40" s="22"/>
      <c r="X40" s="23"/>
      <c r="Y40" s="24">
        <f t="shared" si="1"/>
        <v>0.33058399999999999</v>
      </c>
      <c r="Z40" s="22"/>
      <c r="AA40" s="22"/>
      <c r="AB40" s="22"/>
      <c r="AC40" s="23"/>
      <c r="AD40" s="25">
        <v>1007</v>
      </c>
      <c r="AE40" s="22"/>
      <c r="AF40" s="22"/>
      <c r="AG40" s="22"/>
      <c r="AH40" s="23"/>
      <c r="AI40" s="21">
        <v>1027</v>
      </c>
      <c r="AJ40" s="22"/>
      <c r="AK40" s="22"/>
      <c r="AL40" s="22"/>
      <c r="AM40" s="23"/>
      <c r="AN40" s="21">
        <v>1107</v>
      </c>
      <c r="AO40" s="22"/>
      <c r="AP40" s="22"/>
      <c r="AQ40" s="22"/>
      <c r="AR40" s="23"/>
      <c r="AS40" s="21"/>
      <c r="AT40" s="22"/>
      <c r="AU40" s="22"/>
      <c r="AV40" s="22"/>
      <c r="AW40" s="23"/>
    </row>
    <row r="41" spans="1:184" ht="21" customHeight="1" x14ac:dyDescent="0.35">
      <c r="A41" s="2"/>
      <c r="B41" s="7" t="s">
        <v>90</v>
      </c>
      <c r="C41" s="7" t="s">
        <v>88</v>
      </c>
      <c r="D41" s="8" t="s">
        <v>81</v>
      </c>
      <c r="E41" s="33">
        <v>287</v>
      </c>
      <c r="F41" s="22"/>
      <c r="G41" s="22"/>
      <c r="H41" s="22"/>
      <c r="I41" s="23"/>
      <c r="J41" s="32">
        <f t="shared" si="4"/>
        <v>0.34439999999999998</v>
      </c>
      <c r="K41" s="22"/>
      <c r="L41" s="22"/>
      <c r="M41" s="22"/>
      <c r="N41" s="23"/>
      <c r="O41" s="31">
        <v>954</v>
      </c>
      <c r="P41" s="22"/>
      <c r="Q41" s="22"/>
      <c r="R41" s="22"/>
      <c r="S41" s="23"/>
      <c r="T41" s="34">
        <v>287</v>
      </c>
      <c r="U41" s="22"/>
      <c r="V41" s="22"/>
      <c r="W41" s="22"/>
      <c r="X41" s="23"/>
      <c r="Y41" s="24">
        <f t="shared" si="1"/>
        <v>0.38257099999999999</v>
      </c>
      <c r="Z41" s="22"/>
      <c r="AA41" s="22"/>
      <c r="AB41" s="22"/>
      <c r="AC41" s="23"/>
      <c r="AD41" s="25">
        <v>1010</v>
      </c>
      <c r="AE41" s="22"/>
      <c r="AF41" s="22"/>
      <c r="AG41" s="22"/>
      <c r="AH41" s="23"/>
      <c r="AI41" s="21">
        <v>1028</v>
      </c>
      <c r="AJ41" s="22"/>
      <c r="AK41" s="22"/>
      <c r="AL41" s="22"/>
      <c r="AM41" s="23"/>
      <c r="AN41" s="21">
        <v>1108</v>
      </c>
      <c r="AO41" s="22"/>
      <c r="AP41" s="22"/>
      <c r="AQ41" s="22"/>
      <c r="AR41" s="23"/>
      <c r="AS41" s="21"/>
      <c r="AT41" s="22"/>
      <c r="AU41" s="22"/>
      <c r="AV41" s="22"/>
      <c r="AW41" s="23"/>
    </row>
    <row r="42" spans="1:184" ht="21" customHeight="1" x14ac:dyDescent="0.35">
      <c r="A42" s="2"/>
      <c r="B42" s="7" t="s">
        <v>91</v>
      </c>
      <c r="C42" s="7" t="s">
        <v>88</v>
      </c>
      <c r="D42" s="8" t="s">
        <v>92</v>
      </c>
      <c r="E42" s="33">
        <v>398</v>
      </c>
      <c r="F42" s="22"/>
      <c r="G42" s="22"/>
      <c r="H42" s="22"/>
      <c r="I42" s="23"/>
      <c r="J42" s="32">
        <f t="shared" si="4"/>
        <v>0.47759999999999997</v>
      </c>
      <c r="K42" s="22"/>
      <c r="L42" s="22"/>
      <c r="M42" s="22"/>
      <c r="N42" s="23"/>
      <c r="O42" s="31">
        <v>1032</v>
      </c>
      <c r="P42" s="22"/>
      <c r="Q42" s="22"/>
      <c r="R42" s="22"/>
      <c r="S42" s="23"/>
      <c r="T42" s="34">
        <v>398</v>
      </c>
      <c r="U42" s="22"/>
      <c r="V42" s="22"/>
      <c r="W42" s="22"/>
      <c r="X42" s="23"/>
      <c r="Y42" s="24">
        <f t="shared" si="1"/>
        <v>0.53053399999999995</v>
      </c>
      <c r="Z42" s="22"/>
      <c r="AA42" s="22"/>
      <c r="AB42" s="22"/>
      <c r="AC42" s="23"/>
      <c r="AD42" s="25">
        <v>1051</v>
      </c>
      <c r="AE42" s="22"/>
      <c r="AF42" s="22"/>
      <c r="AG42" s="22"/>
      <c r="AH42" s="23"/>
      <c r="AI42" s="21">
        <v>1117</v>
      </c>
      <c r="AJ42" s="22"/>
      <c r="AK42" s="22"/>
      <c r="AL42" s="22"/>
      <c r="AM42" s="23"/>
      <c r="AN42" s="21">
        <v>1157</v>
      </c>
      <c r="AO42" s="22"/>
      <c r="AP42" s="22"/>
      <c r="AQ42" s="22"/>
      <c r="AR42" s="23"/>
      <c r="AS42" s="21"/>
      <c r="AT42" s="22"/>
      <c r="AU42" s="22"/>
      <c r="AV42" s="22"/>
      <c r="AW42" s="23"/>
    </row>
    <row r="43" spans="1:184" ht="21" customHeight="1" x14ac:dyDescent="0.35">
      <c r="A43" s="2"/>
      <c r="B43" s="7" t="s">
        <v>93</v>
      </c>
      <c r="C43" s="7" t="s">
        <v>88</v>
      </c>
      <c r="D43" s="14" t="s">
        <v>30</v>
      </c>
      <c r="E43" s="33">
        <v>395</v>
      </c>
      <c r="F43" s="22"/>
      <c r="G43" s="22"/>
      <c r="H43" s="22"/>
      <c r="I43" s="23"/>
      <c r="J43" s="32">
        <f t="shared" si="4"/>
        <v>0.47399999999999998</v>
      </c>
      <c r="K43" s="22"/>
      <c r="L43" s="22"/>
      <c r="M43" s="22"/>
      <c r="N43" s="23"/>
      <c r="O43" s="31">
        <v>1034</v>
      </c>
      <c r="P43" s="22"/>
      <c r="Q43" s="22"/>
      <c r="R43" s="22"/>
      <c r="S43" s="23"/>
      <c r="T43" s="34">
        <v>395</v>
      </c>
      <c r="U43" s="22"/>
      <c r="V43" s="22"/>
      <c r="W43" s="22"/>
      <c r="X43" s="23"/>
      <c r="Y43" s="24">
        <f t="shared" si="1"/>
        <v>0.52653499999999998</v>
      </c>
      <c r="Z43" s="22"/>
      <c r="AA43" s="22"/>
      <c r="AB43" s="22"/>
      <c r="AC43" s="23"/>
      <c r="AD43" s="25">
        <v>1053</v>
      </c>
      <c r="AE43" s="22"/>
      <c r="AF43" s="22"/>
      <c r="AG43" s="22"/>
      <c r="AH43" s="23"/>
      <c r="AI43" s="21">
        <v>1118</v>
      </c>
      <c r="AJ43" s="22"/>
      <c r="AK43" s="22"/>
      <c r="AL43" s="22"/>
      <c r="AM43" s="23"/>
      <c r="AN43" s="21">
        <v>1158</v>
      </c>
      <c r="AO43" s="22"/>
      <c r="AP43" s="22"/>
      <c r="AQ43" s="22"/>
      <c r="AR43" s="23"/>
      <c r="AS43" s="21"/>
      <c r="AT43" s="22"/>
      <c r="AU43" s="22"/>
      <c r="AV43" s="22"/>
      <c r="AW43" s="23"/>
    </row>
    <row r="44" spans="1:184" ht="21" customHeight="1" x14ac:dyDescent="0.35">
      <c r="A44" s="2"/>
      <c r="B44" s="7" t="s">
        <v>94</v>
      </c>
      <c r="C44" s="7" t="s">
        <v>88</v>
      </c>
      <c r="D44" s="14" t="s">
        <v>32</v>
      </c>
      <c r="E44" s="33">
        <v>434</v>
      </c>
      <c r="F44" s="22"/>
      <c r="G44" s="22"/>
      <c r="H44" s="22"/>
      <c r="I44" s="23"/>
      <c r="J44" s="32">
        <f t="shared" si="4"/>
        <v>0.52079999999999993</v>
      </c>
      <c r="K44" s="22"/>
      <c r="L44" s="22"/>
      <c r="M44" s="22"/>
      <c r="N44" s="23"/>
      <c r="O44" s="31">
        <v>1039</v>
      </c>
      <c r="P44" s="22"/>
      <c r="Q44" s="22"/>
      <c r="R44" s="22"/>
      <c r="S44" s="23"/>
      <c r="T44" s="34">
        <v>434</v>
      </c>
      <c r="U44" s="22"/>
      <c r="V44" s="22"/>
      <c r="W44" s="22"/>
      <c r="X44" s="23"/>
      <c r="Y44" s="24">
        <f t="shared" si="1"/>
        <v>0.57852199999999998</v>
      </c>
      <c r="Z44" s="22"/>
      <c r="AA44" s="22"/>
      <c r="AB44" s="22"/>
      <c r="AC44" s="23"/>
      <c r="AD44" s="25">
        <v>1057</v>
      </c>
      <c r="AE44" s="22"/>
      <c r="AF44" s="22"/>
      <c r="AG44" s="22"/>
      <c r="AH44" s="23"/>
      <c r="AI44" s="21">
        <v>1119</v>
      </c>
      <c r="AJ44" s="22"/>
      <c r="AK44" s="22"/>
      <c r="AL44" s="22"/>
      <c r="AM44" s="23"/>
      <c r="AN44" s="21">
        <v>1159</v>
      </c>
      <c r="AO44" s="22"/>
      <c r="AP44" s="22"/>
      <c r="AQ44" s="22"/>
      <c r="AR44" s="23"/>
      <c r="AS44" s="21"/>
      <c r="AT44" s="22"/>
      <c r="AU44" s="22"/>
      <c r="AV44" s="22"/>
      <c r="AW44" s="23"/>
    </row>
    <row r="45" spans="1:184" ht="21" customHeight="1" x14ac:dyDescent="0.35">
      <c r="A45" s="2"/>
      <c r="B45" s="7" t="s">
        <v>95</v>
      </c>
      <c r="C45" s="7" t="s">
        <v>88</v>
      </c>
      <c r="D45" s="14" t="s">
        <v>34</v>
      </c>
      <c r="E45" s="33">
        <v>440</v>
      </c>
      <c r="F45" s="22"/>
      <c r="G45" s="22"/>
      <c r="H45" s="22"/>
      <c r="I45" s="23"/>
      <c r="J45" s="32">
        <f t="shared" si="4"/>
        <v>0.52799999999999991</v>
      </c>
      <c r="K45" s="22"/>
      <c r="L45" s="22"/>
      <c r="M45" s="22"/>
      <c r="N45" s="23"/>
      <c r="O45" s="31">
        <v>1041</v>
      </c>
      <c r="P45" s="22"/>
      <c r="Q45" s="22"/>
      <c r="R45" s="22"/>
      <c r="S45" s="23"/>
      <c r="T45" s="34">
        <v>440</v>
      </c>
      <c r="U45" s="22"/>
      <c r="V45" s="22"/>
      <c r="W45" s="22"/>
      <c r="X45" s="23"/>
      <c r="Y45" s="24">
        <f t="shared" si="1"/>
        <v>0.58652000000000004</v>
      </c>
      <c r="Z45" s="22"/>
      <c r="AA45" s="22"/>
      <c r="AB45" s="22"/>
      <c r="AC45" s="23"/>
      <c r="AD45" s="25">
        <v>1059</v>
      </c>
      <c r="AE45" s="22"/>
      <c r="AF45" s="22"/>
      <c r="AG45" s="22"/>
      <c r="AH45" s="23"/>
      <c r="AI45" s="21">
        <v>1120</v>
      </c>
      <c r="AJ45" s="22"/>
      <c r="AK45" s="22"/>
      <c r="AL45" s="22"/>
      <c r="AM45" s="23"/>
      <c r="AN45" s="21">
        <v>1200</v>
      </c>
      <c r="AO45" s="22"/>
      <c r="AP45" s="22"/>
      <c r="AQ45" s="22"/>
      <c r="AR45" s="23"/>
      <c r="AS45" s="21"/>
      <c r="AT45" s="22"/>
      <c r="AU45" s="22"/>
      <c r="AV45" s="22"/>
      <c r="AW45" s="23"/>
    </row>
    <row r="46" spans="1:184" ht="21" customHeight="1" x14ac:dyDescent="0.35">
      <c r="A46" s="2"/>
      <c r="B46" s="7" t="s">
        <v>96</v>
      </c>
      <c r="C46" s="7" t="s">
        <v>88</v>
      </c>
      <c r="D46" s="14" t="s">
        <v>36</v>
      </c>
      <c r="E46" s="31">
        <v>268</v>
      </c>
      <c r="F46" s="22"/>
      <c r="G46" s="22"/>
      <c r="H46" s="22"/>
      <c r="I46" s="23"/>
      <c r="J46" s="32">
        <f t="shared" si="4"/>
        <v>0.3216</v>
      </c>
      <c r="K46" s="22"/>
      <c r="L46" s="22"/>
      <c r="M46" s="22"/>
      <c r="N46" s="23"/>
      <c r="O46" s="31">
        <v>1045</v>
      </c>
      <c r="P46" s="22"/>
      <c r="Q46" s="22"/>
      <c r="R46" s="22"/>
      <c r="S46" s="23"/>
      <c r="T46" s="25">
        <v>268</v>
      </c>
      <c r="U46" s="22"/>
      <c r="V46" s="22"/>
      <c r="W46" s="22"/>
      <c r="X46" s="23"/>
      <c r="Y46" s="24">
        <f t="shared" si="1"/>
        <v>0.35724400000000001</v>
      </c>
      <c r="Z46" s="22"/>
      <c r="AA46" s="22"/>
      <c r="AB46" s="22"/>
      <c r="AC46" s="23"/>
      <c r="AD46" s="25">
        <v>1103</v>
      </c>
      <c r="AE46" s="22"/>
      <c r="AF46" s="22"/>
      <c r="AG46" s="22"/>
      <c r="AH46" s="23"/>
      <c r="AI46" s="21">
        <v>1121</v>
      </c>
      <c r="AJ46" s="22"/>
      <c r="AK46" s="22"/>
      <c r="AL46" s="22"/>
      <c r="AM46" s="23"/>
      <c r="AN46" s="21">
        <v>1201</v>
      </c>
      <c r="AO46" s="22"/>
      <c r="AP46" s="22"/>
      <c r="AQ46" s="22"/>
      <c r="AR46" s="23"/>
      <c r="AS46" s="21"/>
      <c r="AT46" s="22"/>
      <c r="AU46" s="22"/>
      <c r="AV46" s="22"/>
      <c r="AW46" s="23"/>
    </row>
    <row r="47" spans="1:184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</row>
    <row r="48" spans="1:184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</row>
    <row r="49" spans="1:184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</row>
    <row r="50" spans="1:184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</row>
    <row r="51" spans="1:184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</row>
    <row r="52" spans="1:184" ht="21" customHeight="1" x14ac:dyDescent="0.35">
      <c r="A52" s="2"/>
    </row>
    <row r="53" spans="1:184" ht="21" customHeight="1" x14ac:dyDescent="0.35">
      <c r="A53" s="2"/>
    </row>
    <row r="54" spans="1:184" ht="21" customHeight="1" x14ac:dyDescent="0.35">
      <c r="A54" s="2"/>
    </row>
    <row r="55" spans="1:184" ht="21" customHeight="1" x14ac:dyDescent="0.35">
      <c r="A55" s="2"/>
    </row>
    <row r="56" spans="1:184" ht="21" customHeight="1" x14ac:dyDescent="0.35">
      <c r="A56" s="2"/>
    </row>
    <row r="57" spans="1:184" ht="21" customHeight="1" x14ac:dyDescent="0.35">
      <c r="A57" s="2"/>
    </row>
    <row r="58" spans="1:184" ht="21" customHeight="1" x14ac:dyDescent="0.35">
      <c r="A58" s="2"/>
    </row>
    <row r="59" spans="1:184" ht="21" customHeight="1" x14ac:dyDescent="0.35">
      <c r="A59" s="2"/>
    </row>
    <row r="60" spans="1:184" ht="21" customHeight="1" x14ac:dyDescent="0.35">
      <c r="A60" s="2"/>
    </row>
    <row r="61" spans="1:184" ht="21" customHeight="1" x14ac:dyDescent="0.35">
      <c r="A61" s="2"/>
    </row>
    <row r="62" spans="1:184" ht="21" customHeight="1" x14ac:dyDescent="0.35">
      <c r="A62" s="2"/>
    </row>
    <row r="63" spans="1:184" ht="21" customHeight="1" x14ac:dyDescent="0.35">
      <c r="A63" s="2"/>
    </row>
    <row r="64" spans="1:184" ht="21" customHeight="1" x14ac:dyDescent="0.35">
      <c r="A64" s="2"/>
    </row>
    <row r="65" spans="1:1" ht="21" customHeight="1" x14ac:dyDescent="0.35">
      <c r="A65" s="2"/>
    </row>
    <row r="66" spans="1:1" ht="21" customHeight="1" x14ac:dyDescent="0.35">
      <c r="A66" s="2"/>
    </row>
    <row r="67" spans="1:1" ht="21" customHeight="1" x14ac:dyDescent="0.35">
      <c r="A67" s="2"/>
    </row>
    <row r="68" spans="1:1" ht="21" customHeight="1" x14ac:dyDescent="0.35">
      <c r="A68" s="2"/>
    </row>
    <row r="69" spans="1:1" ht="21" customHeight="1" x14ac:dyDescent="0.35">
      <c r="A69" s="2"/>
    </row>
    <row r="70" spans="1:1" ht="21" customHeight="1" x14ac:dyDescent="0.35">
      <c r="A70" s="2"/>
    </row>
    <row r="71" spans="1:1" ht="21" customHeight="1" x14ac:dyDescent="0.35">
      <c r="A71" s="2"/>
    </row>
  </sheetData>
  <mergeCells count="414">
    <mergeCell ref="AI38:AM38"/>
    <mergeCell ref="AD37:AH37"/>
    <mergeCell ref="AN25:AR25"/>
    <mergeCell ref="T26:X26"/>
    <mergeCell ref="Y26:AC26"/>
    <mergeCell ref="AD26:AH26"/>
    <mergeCell ref="AI26:AM26"/>
    <mergeCell ref="AD27:AH27"/>
    <mergeCell ref="T27:X27"/>
    <mergeCell ref="Y27:AC27"/>
    <mergeCell ref="T28:X28"/>
    <mergeCell ref="Y28:AC28"/>
    <mergeCell ref="T30:X30"/>
    <mergeCell ref="Y30:AC30"/>
    <mergeCell ref="AD30:AH30"/>
    <mergeCell ref="E26:I26"/>
    <mergeCell ref="J26:N26"/>
    <mergeCell ref="O26:S26"/>
    <mergeCell ref="O37:S37"/>
    <mergeCell ref="T37:X37"/>
    <mergeCell ref="Y37:AC37"/>
    <mergeCell ref="E38:I38"/>
    <mergeCell ref="J38:N38"/>
    <mergeCell ref="O38:S38"/>
    <mergeCell ref="E30:I30"/>
    <mergeCell ref="J30:N30"/>
    <mergeCell ref="O30:S30"/>
    <mergeCell ref="AI39:AM39"/>
    <mergeCell ref="E37:I37"/>
    <mergeCell ref="J37:N37"/>
    <mergeCell ref="AS25:AW25"/>
    <mergeCell ref="AS24:AW24"/>
    <mergeCell ref="AN24:AR24"/>
    <mergeCell ref="E25:I25"/>
    <mergeCell ref="J25:N25"/>
    <mergeCell ref="AI36:AM36"/>
    <mergeCell ref="AI35:AM35"/>
    <mergeCell ref="AI34:AM34"/>
    <mergeCell ref="AI33:AM33"/>
    <mergeCell ref="O25:S25"/>
    <mergeCell ref="E31:I31"/>
    <mergeCell ref="J31:N31"/>
    <mergeCell ref="O31:S31"/>
    <mergeCell ref="AI31:AM31"/>
    <mergeCell ref="AD31:AH31"/>
    <mergeCell ref="T31:X31"/>
    <mergeCell ref="Y31:AC31"/>
    <mergeCell ref="T32:X32"/>
    <mergeCell ref="Y32:AC32"/>
    <mergeCell ref="AD32:AH32"/>
    <mergeCell ref="AI32:AM32"/>
    <mergeCell ref="E23:I23"/>
    <mergeCell ref="J23:N23"/>
    <mergeCell ref="O23:S23"/>
    <mergeCell ref="T23:X23"/>
    <mergeCell ref="Y23:AC23"/>
    <mergeCell ref="AD23:AH23"/>
    <mergeCell ref="AI23:AM23"/>
    <mergeCell ref="E39:I39"/>
    <mergeCell ref="J39:N39"/>
    <mergeCell ref="O39:S39"/>
    <mergeCell ref="E24:I24"/>
    <mergeCell ref="J24:N24"/>
    <mergeCell ref="O24:S24"/>
    <mergeCell ref="AI24:AM24"/>
    <mergeCell ref="AD24:AH24"/>
    <mergeCell ref="T24:X24"/>
    <mergeCell ref="Y24:AC24"/>
    <mergeCell ref="T25:X25"/>
    <mergeCell ref="Y25:AC25"/>
    <mergeCell ref="AD25:AH25"/>
    <mergeCell ref="AI25:AM25"/>
    <mergeCell ref="AI37:AM37"/>
    <mergeCell ref="AD38:AH38"/>
    <mergeCell ref="T38:X38"/>
    <mergeCell ref="AI30:AM30"/>
    <mergeCell ref="E32:I32"/>
    <mergeCell ref="J32:N32"/>
    <mergeCell ref="O32:S32"/>
    <mergeCell ref="AD45:AH45"/>
    <mergeCell ref="T45:X45"/>
    <mergeCell ref="Y45:AC45"/>
    <mergeCell ref="AN32:AR32"/>
    <mergeCell ref="AS32:AW32"/>
    <mergeCell ref="AS31:AW31"/>
    <mergeCell ref="AN31:AR31"/>
    <mergeCell ref="AN30:AR30"/>
    <mergeCell ref="AS30:AW30"/>
    <mergeCell ref="AN39:AR39"/>
    <mergeCell ref="AS39:AW39"/>
    <mergeCell ref="AS38:AW38"/>
    <mergeCell ref="AN38:AR38"/>
    <mergeCell ref="AN37:AR37"/>
    <mergeCell ref="AS37:AW37"/>
    <mergeCell ref="AS45:AW45"/>
    <mergeCell ref="AN45:AR45"/>
    <mergeCell ref="AN33:AR33"/>
    <mergeCell ref="AS33:AW33"/>
    <mergeCell ref="AN36:AR36"/>
    <mergeCell ref="AS46:AW46"/>
    <mergeCell ref="T46:X46"/>
    <mergeCell ref="Y46:AC46"/>
    <mergeCell ref="AN44:AR44"/>
    <mergeCell ref="AS44:AW44"/>
    <mergeCell ref="E44:I44"/>
    <mergeCell ref="J44:N44"/>
    <mergeCell ref="O44:S44"/>
    <mergeCell ref="T44:X44"/>
    <mergeCell ref="Y44:AC44"/>
    <mergeCell ref="AD44:AH44"/>
    <mergeCell ref="AI44:AM44"/>
    <mergeCell ref="AD46:AH46"/>
    <mergeCell ref="E45:I45"/>
    <mergeCell ref="J45:N45"/>
    <mergeCell ref="O45:S45"/>
    <mergeCell ref="AI45:AM45"/>
    <mergeCell ref="AI46:AM46"/>
    <mergeCell ref="AN46:AR46"/>
    <mergeCell ref="E46:I46"/>
    <mergeCell ref="J46:N46"/>
    <mergeCell ref="O46:S46"/>
    <mergeCell ref="AS36:AW36"/>
    <mergeCell ref="AN35:AR35"/>
    <mergeCell ref="AS35:AW35"/>
    <mergeCell ref="AS34:AW34"/>
    <mergeCell ref="AN34:AR34"/>
    <mergeCell ref="AN26:AR26"/>
    <mergeCell ref="AS26:AW26"/>
    <mergeCell ref="E40:I40"/>
    <mergeCell ref="J40:N40"/>
    <mergeCell ref="O40:S40"/>
    <mergeCell ref="T40:X40"/>
    <mergeCell ref="Y40:AC40"/>
    <mergeCell ref="AD40:AH40"/>
    <mergeCell ref="AI40:AM40"/>
    <mergeCell ref="AN40:AR40"/>
    <mergeCell ref="AS40:AW40"/>
    <mergeCell ref="J34:N34"/>
    <mergeCell ref="O34:S34"/>
    <mergeCell ref="AD34:AH34"/>
    <mergeCell ref="T34:X34"/>
    <mergeCell ref="Y34:AC34"/>
    <mergeCell ref="T35:X35"/>
    <mergeCell ref="Y35:AC35"/>
    <mergeCell ref="E35:I35"/>
    <mergeCell ref="AS3:AW3"/>
    <mergeCell ref="E3:I3"/>
    <mergeCell ref="J3:N3"/>
    <mergeCell ref="O3:S3"/>
    <mergeCell ref="T3:X3"/>
    <mergeCell ref="AI6:AM6"/>
    <mergeCell ref="AN6:AR6"/>
    <mergeCell ref="AI5:AM5"/>
    <mergeCell ref="AN5:AR5"/>
    <mergeCell ref="J4:N4"/>
    <mergeCell ref="O4:S4"/>
    <mergeCell ref="AD4:AH4"/>
    <mergeCell ref="T4:X4"/>
    <mergeCell ref="Y4:AC4"/>
    <mergeCell ref="E5:I5"/>
    <mergeCell ref="J5:N5"/>
    <mergeCell ref="O5:S5"/>
    <mergeCell ref="T5:X5"/>
    <mergeCell ref="Y5:AC5"/>
    <mergeCell ref="AD5:AH5"/>
    <mergeCell ref="Y3:AC3"/>
    <mergeCell ref="AI4:AM4"/>
    <mergeCell ref="AI3:AM3"/>
    <mergeCell ref="AS6:AW6"/>
    <mergeCell ref="AI1:AM1"/>
    <mergeCell ref="AN1:AR1"/>
    <mergeCell ref="E1:I1"/>
    <mergeCell ref="J1:N1"/>
    <mergeCell ref="O1:S1"/>
    <mergeCell ref="T1:X1"/>
    <mergeCell ref="Y1:AC1"/>
    <mergeCell ref="AD1:AH1"/>
    <mergeCell ref="AS1:AW1"/>
    <mergeCell ref="AI2:AM2"/>
    <mergeCell ref="AN2:AR2"/>
    <mergeCell ref="AS5:AW5"/>
    <mergeCell ref="AS2:AW2"/>
    <mergeCell ref="E4:I4"/>
    <mergeCell ref="AN4:AR4"/>
    <mergeCell ref="AS4:AW4"/>
    <mergeCell ref="AN3:AR3"/>
    <mergeCell ref="T8:X8"/>
    <mergeCell ref="Y8:AC8"/>
    <mergeCell ref="AN8:AR8"/>
    <mergeCell ref="AS8:AW8"/>
    <mergeCell ref="E8:I8"/>
    <mergeCell ref="J8:N8"/>
    <mergeCell ref="O8:S8"/>
    <mergeCell ref="AI8:AM8"/>
    <mergeCell ref="E6:I6"/>
    <mergeCell ref="J6:N6"/>
    <mergeCell ref="O6:S6"/>
    <mergeCell ref="AD8:AH8"/>
    <mergeCell ref="E7:I7"/>
    <mergeCell ref="J7:N7"/>
    <mergeCell ref="O7:S7"/>
    <mergeCell ref="T7:X7"/>
    <mergeCell ref="Y7:AC7"/>
    <mergeCell ref="T6:X6"/>
    <mergeCell ref="Y6:AC6"/>
    <mergeCell ref="AD6:AH6"/>
    <mergeCell ref="AD7:AH7"/>
    <mergeCell ref="AI7:AM7"/>
    <mergeCell ref="AN7:AR7"/>
    <mergeCell ref="AS7:AW7"/>
    <mergeCell ref="E9:I9"/>
    <mergeCell ref="J9:N9"/>
    <mergeCell ref="O9:S9"/>
    <mergeCell ref="T9:X9"/>
    <mergeCell ref="Y9:AC9"/>
    <mergeCell ref="AI10:AM10"/>
    <mergeCell ref="AD9:AH9"/>
    <mergeCell ref="AI9:AM9"/>
    <mergeCell ref="AN9:AR9"/>
    <mergeCell ref="J11:N11"/>
    <mergeCell ref="AS11:AW11"/>
    <mergeCell ref="Y10:AC10"/>
    <mergeCell ref="Y11:AC11"/>
    <mergeCell ref="AD10:AH10"/>
    <mergeCell ref="AD11:AH11"/>
    <mergeCell ref="E10:I10"/>
    <mergeCell ref="J10:N10"/>
    <mergeCell ref="O10:S10"/>
    <mergeCell ref="E16:I16"/>
    <mergeCell ref="J16:N16"/>
    <mergeCell ref="O16:S16"/>
    <mergeCell ref="T16:X16"/>
    <mergeCell ref="Y16:AC16"/>
    <mergeCell ref="AN17:AR17"/>
    <mergeCell ref="E13:I13"/>
    <mergeCell ref="J13:N13"/>
    <mergeCell ref="O13:S13"/>
    <mergeCell ref="AI13:AM13"/>
    <mergeCell ref="E15:I15"/>
    <mergeCell ref="J15:N15"/>
    <mergeCell ref="O15:S15"/>
    <mergeCell ref="T15:X15"/>
    <mergeCell ref="Y15:AC15"/>
    <mergeCell ref="AD15:AH15"/>
    <mergeCell ref="AI15:AM15"/>
    <mergeCell ref="E14:I14"/>
    <mergeCell ref="J14:N14"/>
    <mergeCell ref="O14:S14"/>
    <mergeCell ref="AN10:AR10"/>
    <mergeCell ref="E17:I17"/>
    <mergeCell ref="J17:N17"/>
    <mergeCell ref="O17:S17"/>
    <mergeCell ref="AD17:AH17"/>
    <mergeCell ref="AI17:AM17"/>
    <mergeCell ref="T17:X17"/>
    <mergeCell ref="Y17:AC17"/>
    <mergeCell ref="E18:I18"/>
    <mergeCell ref="J18:N18"/>
    <mergeCell ref="O18:S18"/>
    <mergeCell ref="T18:X18"/>
    <mergeCell ref="Y18:AC18"/>
    <mergeCell ref="AD18:AH18"/>
    <mergeCell ref="AI18:AM18"/>
    <mergeCell ref="E2:I2"/>
    <mergeCell ref="J2:N2"/>
    <mergeCell ref="O2:S2"/>
    <mergeCell ref="T2:X2"/>
    <mergeCell ref="Y2:AC2"/>
    <mergeCell ref="AD2:AH2"/>
    <mergeCell ref="AD3:AH3"/>
    <mergeCell ref="AN12:AR12"/>
    <mergeCell ref="AS12:AW12"/>
    <mergeCell ref="E12:I12"/>
    <mergeCell ref="J12:N12"/>
    <mergeCell ref="O12:S12"/>
    <mergeCell ref="T12:X12"/>
    <mergeCell ref="Y12:AC12"/>
    <mergeCell ref="AD12:AH12"/>
    <mergeCell ref="AI12:AM12"/>
    <mergeCell ref="AS9:AW9"/>
    <mergeCell ref="AS10:AW10"/>
    <mergeCell ref="O11:S11"/>
    <mergeCell ref="T10:X10"/>
    <mergeCell ref="T11:X11"/>
    <mergeCell ref="AI11:AM11"/>
    <mergeCell ref="AN11:AR11"/>
    <mergeCell ref="E11:I11"/>
    <mergeCell ref="AS21:AW21"/>
    <mergeCell ref="AS20:AW20"/>
    <mergeCell ref="AN20:AR20"/>
    <mergeCell ref="AN15:AR15"/>
    <mergeCell ref="AS15:AW15"/>
    <mergeCell ref="AD13:AH13"/>
    <mergeCell ref="T13:X13"/>
    <mergeCell ref="Y13:AC13"/>
    <mergeCell ref="T14:X14"/>
    <mergeCell ref="Y14:AC14"/>
    <mergeCell ref="AD14:AH14"/>
    <mergeCell ref="AI14:AM14"/>
    <mergeCell ref="AN14:AR14"/>
    <mergeCell ref="AS14:AW14"/>
    <mergeCell ref="AS13:AW13"/>
    <mergeCell ref="AN13:AR13"/>
    <mergeCell ref="AD16:AH16"/>
    <mergeCell ref="AI16:AM16"/>
    <mergeCell ref="AN16:AR16"/>
    <mergeCell ref="AS16:AW16"/>
    <mergeCell ref="AS17:AW17"/>
    <mergeCell ref="AS18:AW18"/>
    <mergeCell ref="AN18:AR18"/>
    <mergeCell ref="AS19:AW19"/>
    <mergeCell ref="E19:I19"/>
    <mergeCell ref="J19:N19"/>
    <mergeCell ref="O19:S19"/>
    <mergeCell ref="T19:X19"/>
    <mergeCell ref="Y19:AC19"/>
    <mergeCell ref="AD19:AH19"/>
    <mergeCell ref="AI19:AM19"/>
    <mergeCell ref="E20:I20"/>
    <mergeCell ref="J20:N20"/>
    <mergeCell ref="O20:S20"/>
    <mergeCell ref="AI20:AM20"/>
    <mergeCell ref="AD20:AH20"/>
    <mergeCell ref="T20:X20"/>
    <mergeCell ref="Y20:AC20"/>
    <mergeCell ref="E22:I22"/>
    <mergeCell ref="J22:N22"/>
    <mergeCell ref="O22:S22"/>
    <mergeCell ref="T22:X22"/>
    <mergeCell ref="Y22:AC22"/>
    <mergeCell ref="E21:I21"/>
    <mergeCell ref="J21:N21"/>
    <mergeCell ref="O21:S21"/>
    <mergeCell ref="AN19:AR19"/>
    <mergeCell ref="T21:X21"/>
    <mergeCell ref="Y21:AC21"/>
    <mergeCell ref="AD21:AH21"/>
    <mergeCell ref="AI21:AM21"/>
    <mergeCell ref="AN21:AR21"/>
    <mergeCell ref="AD28:AH28"/>
    <mergeCell ref="AI28:AM28"/>
    <mergeCell ref="AN28:AR28"/>
    <mergeCell ref="AS28:AW28"/>
    <mergeCell ref="AS27:AW27"/>
    <mergeCell ref="AN27:AR27"/>
    <mergeCell ref="AD22:AH22"/>
    <mergeCell ref="AI22:AM22"/>
    <mergeCell ref="AN22:AR22"/>
    <mergeCell ref="AS22:AW22"/>
    <mergeCell ref="AN23:AR23"/>
    <mergeCell ref="AS23:AW23"/>
    <mergeCell ref="E28:I28"/>
    <mergeCell ref="J28:N28"/>
    <mergeCell ref="O28:S28"/>
    <mergeCell ref="E27:I27"/>
    <mergeCell ref="J27:N27"/>
    <mergeCell ref="O27:S27"/>
    <mergeCell ref="AI27:AM27"/>
    <mergeCell ref="AS41:AW41"/>
    <mergeCell ref="AN41:AR41"/>
    <mergeCell ref="AD29:AH29"/>
    <mergeCell ref="AI29:AM29"/>
    <mergeCell ref="AN29:AR29"/>
    <mergeCell ref="AS29:AW29"/>
    <mergeCell ref="E29:I29"/>
    <mergeCell ref="J29:N29"/>
    <mergeCell ref="O29:S29"/>
    <mergeCell ref="T29:X29"/>
    <mergeCell ref="Y29:AC29"/>
    <mergeCell ref="E36:I36"/>
    <mergeCell ref="J36:N36"/>
    <mergeCell ref="O36:S36"/>
    <mergeCell ref="T36:X36"/>
    <mergeCell ref="Y36:AC36"/>
    <mergeCell ref="AD36:AH36"/>
    <mergeCell ref="E33:I33"/>
    <mergeCell ref="J33:N33"/>
    <mergeCell ref="O33:S33"/>
    <mergeCell ref="T33:X33"/>
    <mergeCell ref="Y33:AC33"/>
    <mergeCell ref="AD33:AH33"/>
    <mergeCell ref="E34:I34"/>
    <mergeCell ref="E41:I41"/>
    <mergeCell ref="J41:N41"/>
    <mergeCell ref="O41:S41"/>
    <mergeCell ref="J35:N35"/>
    <mergeCell ref="O35:S35"/>
    <mergeCell ref="AD35:AH35"/>
    <mergeCell ref="Y38:AC38"/>
    <mergeCell ref="T39:X39"/>
    <mergeCell ref="Y39:AC39"/>
    <mergeCell ref="AD39:AH39"/>
    <mergeCell ref="AI41:AM41"/>
    <mergeCell ref="AD43:AH43"/>
    <mergeCell ref="AI43:AM43"/>
    <mergeCell ref="AD41:AH41"/>
    <mergeCell ref="T41:X41"/>
    <mergeCell ref="Y41:AC41"/>
    <mergeCell ref="T42:X42"/>
    <mergeCell ref="Y42:AC42"/>
    <mergeCell ref="AD42:AH42"/>
    <mergeCell ref="AI42:AM42"/>
    <mergeCell ref="AN43:AR43"/>
    <mergeCell ref="AS43:AW43"/>
    <mergeCell ref="E43:I43"/>
    <mergeCell ref="J43:N43"/>
    <mergeCell ref="O43:S43"/>
    <mergeCell ref="T43:X43"/>
    <mergeCell ref="Y43:AC43"/>
    <mergeCell ref="E42:I42"/>
    <mergeCell ref="J42:N42"/>
    <mergeCell ref="O42:S42"/>
    <mergeCell ref="AN42:AR42"/>
    <mergeCell ref="AS42:AW4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Sheet1</vt:lpstr>
      <vt:lpstr>Jour 1 (trial run)</vt:lpstr>
      <vt:lpstr>Jour 1</vt:lpstr>
      <vt:lpstr>Jour 2</vt:lpstr>
      <vt:lpstr>Jour 3</vt:lpstr>
      <vt:lpstr>Jour 4</vt:lpstr>
      <vt:lpstr>Jour 5</vt:lpstr>
      <vt:lpstr>Jour 6</vt:lpstr>
      <vt:lpstr>Jour 7</vt:lpstr>
      <vt:lpstr>Jour 8</vt:lpstr>
      <vt:lpstr>Jour 9</vt:lpstr>
      <vt:lpstr>Jour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morin</cp:lastModifiedBy>
  <dcterms:modified xsi:type="dcterms:W3CDTF">2026-01-09T16:41:58Z</dcterms:modified>
</cp:coreProperties>
</file>